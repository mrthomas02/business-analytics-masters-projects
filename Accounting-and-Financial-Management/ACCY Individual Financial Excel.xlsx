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juthomassabu/Documents/UOWD/ACCY/Individual Project/"/>
    </mc:Choice>
  </mc:AlternateContent>
  <xr:revisionPtr revIDLastSave="0" documentId="13_ncr:1_{DB735177-6EB4-CB4E-BC9A-55724250BE81}" xr6:coauthVersionLast="47" xr6:coauthVersionMax="47" xr10:uidLastSave="{00000000-0000-0000-0000-000000000000}"/>
  <bookViews>
    <workbookView xWindow="-20" yWindow="680" windowWidth="29400" windowHeight="16620" activeTab="3" xr2:uid="{68246038-09DD-CC49-B3B1-91A28CF8D670}"/>
  </bookViews>
  <sheets>
    <sheet name="GM_Horizontal" sheetId="4" r:id="rId1"/>
    <sheet name="GM_VERTICAL" sheetId="6" r:id="rId2"/>
    <sheet name="Trend Analysis" sheetId="7" r:id="rId3"/>
    <sheet name="Ratio Analysis" sheetId="8" r:id="rId4"/>
  </sheets>
  <definedNames>
    <definedName name="_xlchart.v2.0" hidden="1">'Ratio Analysis'!$A$26</definedName>
    <definedName name="_xlchart.v2.1" hidden="1">'Ratio Analysis'!$A$27</definedName>
    <definedName name="_xlchart.v2.2" hidden="1">'Ratio Analysis'!$A$28</definedName>
    <definedName name="_xlchart.v2.3" hidden="1">'Ratio Analysis'!$C$25:$F$25</definedName>
    <definedName name="_xlchart.v2.4" hidden="1">'Ratio Analysis'!$C$26:$F$26</definedName>
    <definedName name="_xlchart.v2.5" hidden="1">'Ratio Analysis'!$C$27:$F$27</definedName>
    <definedName name="_xlchart.v2.6" hidden="1">'Ratio Analysis'!$C$28:$F$28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7" l="1"/>
  <c r="N18" i="7"/>
  <c r="N7" i="7"/>
  <c r="N6" i="7"/>
  <c r="M6" i="7"/>
  <c r="L18" i="7"/>
  <c r="L7" i="7"/>
  <c r="O17" i="7"/>
  <c r="O15" i="7"/>
  <c r="O14" i="7"/>
  <c r="O13" i="7"/>
  <c r="O12" i="7"/>
  <c r="O11" i="7"/>
  <c r="O10" i="7"/>
  <c r="O9" i="7"/>
  <c r="O8" i="7"/>
  <c r="O5" i="7"/>
  <c r="O4" i="7"/>
  <c r="O3" i="7"/>
  <c r="N17" i="7"/>
  <c r="N15" i="7"/>
  <c r="N14" i="7"/>
  <c r="N13" i="7"/>
  <c r="N12" i="7"/>
  <c r="N11" i="7"/>
  <c r="N10" i="7"/>
  <c r="N9" i="7"/>
  <c r="N8" i="7"/>
  <c r="N5" i="7"/>
  <c r="N4" i="7"/>
  <c r="N3" i="7"/>
  <c r="M17" i="7"/>
  <c r="M15" i="7"/>
  <c r="M14" i="7"/>
  <c r="M13" i="7"/>
  <c r="M12" i="7"/>
  <c r="M11" i="7"/>
  <c r="M10" i="7"/>
  <c r="M9" i="7"/>
  <c r="M8" i="7"/>
  <c r="M5" i="7"/>
  <c r="M4" i="7"/>
  <c r="M3" i="7"/>
  <c r="L17" i="7"/>
  <c r="L15" i="7"/>
  <c r="L14" i="7"/>
  <c r="L13" i="7"/>
  <c r="L12" i="7"/>
  <c r="L11" i="7"/>
  <c r="L10" i="7"/>
  <c r="L9" i="7"/>
  <c r="L8" i="7"/>
  <c r="L5" i="7"/>
  <c r="L4" i="7"/>
  <c r="L3" i="7"/>
  <c r="K17" i="7"/>
  <c r="K15" i="7"/>
  <c r="K14" i="7"/>
  <c r="K13" i="7"/>
  <c r="K12" i="7"/>
  <c r="K11" i="7"/>
  <c r="K10" i="7"/>
  <c r="K9" i="7"/>
  <c r="K8" i="7"/>
  <c r="K5" i="7"/>
  <c r="K4" i="7"/>
  <c r="K3" i="7"/>
  <c r="S18" i="7"/>
  <c r="T18" i="7"/>
  <c r="M18" i="7" s="1"/>
  <c r="U18" i="7"/>
  <c r="V18" i="7"/>
  <c r="O18" i="7" s="1"/>
  <c r="R18" i="7"/>
  <c r="K18" i="7" s="1"/>
  <c r="S16" i="7"/>
  <c r="L16" i="7" s="1"/>
  <c r="T16" i="7"/>
  <c r="M16" i="7" s="1"/>
  <c r="U16" i="7"/>
  <c r="N16" i="7" s="1"/>
  <c r="V16" i="7"/>
  <c r="O16" i="7" s="1"/>
  <c r="R16" i="7"/>
  <c r="K16" i="7" s="1"/>
  <c r="S7" i="7"/>
  <c r="T7" i="7"/>
  <c r="M7" i="7" s="1"/>
  <c r="U7" i="7"/>
  <c r="V7" i="7"/>
  <c r="O7" i="7" s="1"/>
  <c r="R7" i="7"/>
  <c r="K7" i="7" s="1"/>
  <c r="S6" i="7"/>
  <c r="L6" i="7" s="1"/>
  <c r="T6" i="7"/>
  <c r="U6" i="7"/>
  <c r="V6" i="7"/>
  <c r="R6" i="7"/>
  <c r="K6" i="7" s="1"/>
  <c r="C18" i="7"/>
  <c r="D18" i="7"/>
  <c r="E18" i="7"/>
  <c r="F18" i="7"/>
  <c r="B18" i="7"/>
  <c r="C16" i="7"/>
  <c r="D16" i="7"/>
  <c r="E16" i="7"/>
  <c r="F16" i="7"/>
  <c r="B16" i="7"/>
  <c r="C7" i="7"/>
  <c r="D7" i="7"/>
  <c r="E7" i="7"/>
  <c r="F7" i="7"/>
  <c r="B7" i="7"/>
  <c r="C6" i="7"/>
  <c r="D6" i="7"/>
  <c r="E6" i="7"/>
  <c r="F6" i="7"/>
  <c r="B6" i="7"/>
  <c r="C25" i="6"/>
  <c r="C26" i="6"/>
  <c r="C27" i="6"/>
  <c r="C24" i="6"/>
  <c r="C28" i="6"/>
  <c r="C19" i="6"/>
  <c r="C18" i="6"/>
  <c r="C20" i="6"/>
  <c r="C4" i="6"/>
  <c r="C5" i="6"/>
  <c r="C6" i="6"/>
  <c r="C7" i="6"/>
  <c r="C8" i="6"/>
  <c r="C9" i="6"/>
  <c r="C10" i="6"/>
  <c r="C11" i="6"/>
  <c r="C3" i="6"/>
  <c r="E23" i="4"/>
  <c r="D18" i="4"/>
  <c r="E18" i="4" s="1"/>
  <c r="D19" i="4"/>
  <c r="E19" i="4" s="1"/>
  <c r="D20" i="4"/>
  <c r="E20" i="4" s="1"/>
  <c r="D21" i="4"/>
  <c r="E21" i="4" s="1"/>
  <c r="D22" i="4"/>
  <c r="E22" i="4" s="1"/>
  <c r="D23" i="4"/>
  <c r="D24" i="4"/>
  <c r="E24" i="4" s="1"/>
  <c r="D17" i="4"/>
  <c r="E17" i="4" s="1"/>
  <c r="D4" i="4"/>
  <c r="E4" i="4" s="1"/>
  <c r="D5" i="4"/>
  <c r="E5" i="4" s="1"/>
  <c r="D6" i="4"/>
  <c r="E6" i="4" s="1"/>
  <c r="D7" i="4"/>
  <c r="E7" i="4" s="1"/>
  <c r="D8" i="4"/>
  <c r="E8" i="4" s="1"/>
  <c r="D9" i="4"/>
  <c r="E9" i="4" s="1"/>
  <c r="D10" i="4"/>
  <c r="E10" i="4" s="1"/>
  <c r="D11" i="4"/>
  <c r="E11" i="4" s="1"/>
  <c r="D3" i="4"/>
  <c r="E3" i="4" s="1"/>
</calcChain>
</file>

<file path=xl/sharedStrings.xml><?xml version="1.0" encoding="utf-8"?>
<sst xmlns="http://schemas.openxmlformats.org/spreadsheetml/2006/main" count="164" uniqueCount="79">
  <si>
    <t>LINE ITEM</t>
  </si>
  <si>
    <t>Total net sales and revenue</t>
  </si>
  <si>
    <t>Automotive and other costs of sales</t>
  </si>
  <si>
    <t>GM Financial interest, operating and other expenses</t>
  </si>
  <si>
    <t>Automotive and selling, general &amp; admin (SG&amp;A)</t>
  </si>
  <si>
    <t>Total costs and expenses</t>
  </si>
  <si>
    <t>Operating income</t>
  </si>
  <si>
    <t>Income before income taxes</t>
  </si>
  <si>
    <t>Income tax expense</t>
  </si>
  <si>
    <t>Net income attributable to common stockholders</t>
  </si>
  <si>
    <t>2024 (US$ m)</t>
  </si>
  <si>
    <t>2023 (US$ m)</t>
  </si>
  <si>
    <t>Change (US$ m)</t>
  </si>
  <si>
    <t>Change (%)</t>
  </si>
  <si>
    <t>INCOME STATEMENT</t>
  </si>
  <si>
    <t>BALANCE SHEET</t>
  </si>
  <si>
    <t>Total Liabilities and Equity</t>
  </si>
  <si>
    <t>Total Liabilities</t>
  </si>
  <si>
    <t>Total Assets</t>
  </si>
  <si>
    <t>Total Current Assets</t>
  </si>
  <si>
    <t>Total Non-Current Assets</t>
  </si>
  <si>
    <t>Total Current Liabilities</t>
  </si>
  <si>
    <t>Total Non-Current Liabilities</t>
  </si>
  <si>
    <t>Total Stockholders' Equity</t>
  </si>
  <si>
    <t>2023 (% of sales)</t>
  </si>
  <si>
    <t>ASSETS</t>
  </si>
  <si>
    <t>LIABILITIES AND EQUITY</t>
  </si>
  <si>
    <t>2023 (% of Total Assets)</t>
  </si>
  <si>
    <t>2023 (% of Total Liabilities &amp; Equity)</t>
  </si>
  <si>
    <t>Metric</t>
  </si>
  <si>
    <t>ROA</t>
  </si>
  <si>
    <t>ROE</t>
  </si>
  <si>
    <t>CFO</t>
  </si>
  <si>
    <t>CFI</t>
  </si>
  <si>
    <t>CFF</t>
  </si>
  <si>
    <t>EPS</t>
  </si>
  <si>
    <t>DPS</t>
  </si>
  <si>
    <t>Retained Earnings</t>
  </si>
  <si>
    <t>Debt Ratio</t>
  </si>
  <si>
    <t>Net Working Capital</t>
  </si>
  <si>
    <t>Total Owners' Equity</t>
  </si>
  <si>
    <t>Total Revenue</t>
  </si>
  <si>
    <t>Net Operating Profits</t>
  </si>
  <si>
    <t>Assets Turnover</t>
  </si>
  <si>
    <t>EUR -&gt; USD rate</t>
  </si>
  <si>
    <t>GENERAL MOTORS TREND ANALYSIS (USD,%)</t>
  </si>
  <si>
    <t>STELLANTIS TREND ANALYSIS (USD,%)</t>
  </si>
  <si>
    <t>STELLANTIS TREND ANALYSIS (EUR,%)</t>
  </si>
  <si>
    <t>LIQUIDITY RATIO</t>
  </si>
  <si>
    <t>FORMULA</t>
  </si>
  <si>
    <t>GM 2023</t>
  </si>
  <si>
    <t>GM 2024</t>
  </si>
  <si>
    <t>STELLANTIS 2023</t>
  </si>
  <si>
    <t>STELLANTIS 2024</t>
  </si>
  <si>
    <t>Current Ratio</t>
  </si>
  <si>
    <t>Current Assets - Current Liabilities</t>
  </si>
  <si>
    <t>Current Assets / Current Liabilies</t>
  </si>
  <si>
    <t>Net Working Capital (US$ m)</t>
  </si>
  <si>
    <t>LIQUIDITY ANALYSIS</t>
  </si>
  <si>
    <t>ACTIVITY ANALYSIS</t>
  </si>
  <si>
    <t>ACTIVITY RATIO</t>
  </si>
  <si>
    <t>Inventory Turnover</t>
  </si>
  <si>
    <t>Receivables Turnover</t>
  </si>
  <si>
    <t>Payables Turnover</t>
  </si>
  <si>
    <t>Net Sales / Avg Trade Receivables</t>
  </si>
  <si>
    <t>Cost of Sales / Avg Trade Payables</t>
  </si>
  <si>
    <t>Net Sales / Avg Total Assets</t>
  </si>
  <si>
    <t>Cost of Sales / Avg Inventory</t>
  </si>
  <si>
    <t>SOLVENCY AND DEBT RATIO</t>
  </si>
  <si>
    <t>Times Interest Earned</t>
  </si>
  <si>
    <t>Total Liabilities / Total Assets</t>
  </si>
  <si>
    <t>EBIT (Operating Income) / Interest Expense</t>
  </si>
  <si>
    <t>PROFITABILITY ANALYSIS</t>
  </si>
  <si>
    <t>SOLVENCY AND DEBT MANAGEMENT ANALYSIS</t>
  </si>
  <si>
    <t>PROFITABILITY RATIO</t>
  </si>
  <si>
    <t>Net Income / Total Assets</t>
  </si>
  <si>
    <t>Net Income / Total Equity</t>
  </si>
  <si>
    <t>Earnings per share (as reported)</t>
  </si>
  <si>
    <t>EPS (US$)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</si>
</sst>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;\ \(0.0%\)"/>
    <numFmt numFmtId="169" formatCode="0.0_);\(0.0\)"/>
  </numFmts>
  <fonts count="8" x14ac:knownFonts="1">
    <font>
      <sz val="12"/>
      <color theme="1"/>
      <name val="Arial"/>
      <family val="2"/>
    </font>
    <font>
      <b/>
      <sz val="2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2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1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center"/>
    </xf>
    <xf numFmtId="41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41" fontId="3" fillId="0" borderId="0" xfId="0" applyNumberFormat="1" applyFont="1"/>
    <xf numFmtId="164" fontId="3" fillId="0" borderId="0" xfId="0" applyNumberFormat="1" applyFont="1"/>
    <xf numFmtId="0" fontId="5" fillId="0" borderId="0" xfId="0" applyFont="1"/>
    <xf numFmtId="3" fontId="5" fillId="0" borderId="0" xfId="0" applyNumberFormat="1" applyFont="1"/>
    <xf numFmtId="0" fontId="6" fillId="3" borderId="0" xfId="0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41" fontId="5" fillId="0" borderId="0" xfId="0" applyNumberFormat="1" applyFont="1"/>
    <xf numFmtId="39" fontId="0" fillId="0" borderId="0" xfId="0" applyNumberFormat="1"/>
    <xf numFmtId="39" fontId="0" fillId="4" borderId="0" xfId="0" applyNumberForma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1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3" fontId="0" fillId="0" borderId="0" xfId="0" applyNumberFormat="1"/>
    <xf numFmtId="169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Horizontal Analysis – GM Income Statement (2023–2024)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GM_Horizontal!$B$2</c:f>
              <c:strCache>
                <c:ptCount val="1"/>
                <c:pt idx="0">
                  <c:v>2024 (US$ 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GM_Horizontal!$A$3:$A$11</c:f>
              <c:strCache>
                <c:ptCount val="9"/>
                <c:pt idx="0">
                  <c:v>Total net sales and revenue</c:v>
                </c:pt>
                <c:pt idx="1">
                  <c:v>Automotive and other costs of sales</c:v>
                </c:pt>
                <c:pt idx="2">
                  <c:v>GM Financial interest, operating and other expenses</c:v>
                </c:pt>
                <c:pt idx="3">
                  <c:v>Automotive and selling, general &amp; admin (SG&amp;A)</c:v>
                </c:pt>
                <c:pt idx="4">
                  <c:v>Total costs and expenses</c:v>
                </c:pt>
                <c:pt idx="5">
                  <c:v>Operating income</c:v>
                </c:pt>
                <c:pt idx="6">
                  <c:v>Income before income taxes</c:v>
                </c:pt>
                <c:pt idx="7">
                  <c:v>Income tax expense</c:v>
                </c:pt>
                <c:pt idx="8">
                  <c:v>Net income attributable to common stockholders</c:v>
                </c:pt>
              </c:strCache>
            </c:strRef>
          </c:cat>
          <c:val>
            <c:numRef>
              <c:f>GM_Horizontal!$B$3:$B$11</c:f>
              <c:numCache>
                <c:formatCode>#,##0</c:formatCode>
                <c:ptCount val="9"/>
                <c:pt idx="0">
                  <c:v>187442</c:v>
                </c:pt>
                <c:pt idx="1">
                  <c:v>151065</c:v>
                </c:pt>
                <c:pt idx="2">
                  <c:v>12972</c:v>
                </c:pt>
                <c:pt idx="3">
                  <c:v>10621</c:v>
                </c:pt>
                <c:pt idx="4">
                  <c:v>174658</c:v>
                </c:pt>
                <c:pt idx="5">
                  <c:v>12784</c:v>
                </c:pt>
                <c:pt idx="6">
                  <c:v>8519</c:v>
                </c:pt>
                <c:pt idx="7">
                  <c:v>2556</c:v>
                </c:pt>
                <c:pt idx="8">
                  <c:v>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2-E547-87B6-6841F69277A7}"/>
            </c:ext>
          </c:extLst>
        </c:ser>
        <c:ser>
          <c:idx val="1"/>
          <c:order val="1"/>
          <c:tx>
            <c:strRef>
              <c:f>GM_Horizontal!$C$2</c:f>
              <c:strCache>
                <c:ptCount val="1"/>
                <c:pt idx="0">
                  <c:v>2023 (US$ 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GM_Horizontal!$A$3:$A$11</c:f>
              <c:strCache>
                <c:ptCount val="9"/>
                <c:pt idx="0">
                  <c:v>Total net sales and revenue</c:v>
                </c:pt>
                <c:pt idx="1">
                  <c:v>Automotive and other costs of sales</c:v>
                </c:pt>
                <c:pt idx="2">
                  <c:v>GM Financial interest, operating and other expenses</c:v>
                </c:pt>
                <c:pt idx="3">
                  <c:v>Automotive and selling, general &amp; admin (SG&amp;A)</c:v>
                </c:pt>
                <c:pt idx="4">
                  <c:v>Total costs and expenses</c:v>
                </c:pt>
                <c:pt idx="5">
                  <c:v>Operating income</c:v>
                </c:pt>
                <c:pt idx="6">
                  <c:v>Income before income taxes</c:v>
                </c:pt>
                <c:pt idx="7">
                  <c:v>Income tax expense</c:v>
                </c:pt>
                <c:pt idx="8">
                  <c:v>Net income attributable to common stockholders</c:v>
                </c:pt>
              </c:strCache>
            </c:strRef>
          </c:cat>
          <c:val>
            <c:numRef>
              <c:f>GM_Horizontal!$C$3:$C$11</c:f>
              <c:numCache>
                <c:formatCode>#,##0</c:formatCode>
                <c:ptCount val="9"/>
                <c:pt idx="0">
                  <c:v>171842</c:v>
                </c:pt>
                <c:pt idx="1">
                  <c:v>141330</c:v>
                </c:pt>
                <c:pt idx="2">
                  <c:v>11374</c:v>
                </c:pt>
                <c:pt idx="3">
                  <c:v>9840</c:v>
                </c:pt>
                <c:pt idx="4">
                  <c:v>162544</c:v>
                </c:pt>
                <c:pt idx="5">
                  <c:v>9298</c:v>
                </c:pt>
                <c:pt idx="6">
                  <c:v>10403</c:v>
                </c:pt>
                <c:pt idx="7" formatCode="General">
                  <c:v>563</c:v>
                </c:pt>
                <c:pt idx="8">
                  <c:v>10022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2-E547-87B6-6841F6927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838911"/>
        <c:axId val="505830399"/>
      </c:barChart>
      <c:lineChart>
        <c:grouping val="standard"/>
        <c:varyColors val="0"/>
        <c:ser>
          <c:idx val="3"/>
          <c:order val="2"/>
          <c:tx>
            <c:strRef>
              <c:f>GM_Horizontal!$E$2</c:f>
              <c:strCache>
                <c:ptCount val="1"/>
                <c:pt idx="0">
                  <c:v>Change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GM_Horizontal!$A$3:$A$11</c:f>
              <c:strCache>
                <c:ptCount val="9"/>
                <c:pt idx="0">
                  <c:v>Total net sales and revenue</c:v>
                </c:pt>
                <c:pt idx="1">
                  <c:v>Automotive and other costs of sales</c:v>
                </c:pt>
                <c:pt idx="2">
                  <c:v>GM Financial interest, operating and other expenses</c:v>
                </c:pt>
                <c:pt idx="3">
                  <c:v>Automotive and selling, general &amp; admin (SG&amp;A)</c:v>
                </c:pt>
                <c:pt idx="4">
                  <c:v>Total costs and expenses</c:v>
                </c:pt>
                <c:pt idx="5">
                  <c:v>Operating income</c:v>
                </c:pt>
                <c:pt idx="6">
                  <c:v>Income before income taxes</c:v>
                </c:pt>
                <c:pt idx="7">
                  <c:v>Income tax expense</c:v>
                </c:pt>
                <c:pt idx="8">
                  <c:v>Net income attributable to common stockholders</c:v>
                </c:pt>
              </c:strCache>
            </c:strRef>
          </c:cat>
          <c:val>
            <c:numRef>
              <c:f>GM_Horizontal!$E$3:$E$11</c:f>
              <c:numCache>
                <c:formatCode>0.0%;\ \(0.0%\)</c:formatCode>
                <c:ptCount val="9"/>
                <c:pt idx="0">
                  <c:v>9.0781066328371407E-2</c:v>
                </c:pt>
                <c:pt idx="1">
                  <c:v>6.8881341541074087E-2</c:v>
                </c:pt>
                <c:pt idx="2">
                  <c:v>0.14049586776859505</c:v>
                </c:pt>
                <c:pt idx="3">
                  <c:v>7.9369918699186998E-2</c:v>
                </c:pt>
                <c:pt idx="4">
                  <c:v>7.4527512550447872E-2</c:v>
                </c:pt>
                <c:pt idx="5">
                  <c:v>0.37491933749193374</c:v>
                </c:pt>
                <c:pt idx="6">
                  <c:v>-0.18110160530616168</c:v>
                </c:pt>
                <c:pt idx="7">
                  <c:v>3.5399644760213143</c:v>
                </c:pt>
                <c:pt idx="8">
                  <c:v>-0.28267810816204353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02-E547-87B6-6841F6927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852287"/>
        <c:axId val="504842431"/>
      </c:lineChart>
      <c:catAx>
        <c:axId val="50583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505830399"/>
        <c:crosses val="autoZero"/>
        <c:auto val="1"/>
        <c:lblAlgn val="ctr"/>
        <c:lblOffset val="100"/>
        <c:noMultiLvlLbl val="0"/>
      </c:catAx>
      <c:valAx>
        <c:axId val="50583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505838911"/>
        <c:crosses val="autoZero"/>
        <c:crossBetween val="between"/>
      </c:valAx>
      <c:valAx>
        <c:axId val="504842431"/>
        <c:scaling>
          <c:orientation val="minMax"/>
        </c:scaling>
        <c:delete val="0"/>
        <c:axPos val="r"/>
        <c:numFmt formatCode="0.0%;\ 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504852287"/>
        <c:crosses val="max"/>
        <c:crossBetween val="between"/>
      </c:valAx>
      <c:catAx>
        <c:axId val="504852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48424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Horizontal Analysis - GM Balance Sheet (2023-2024)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GM_Horizontal!$B$16</c:f>
              <c:strCache>
                <c:ptCount val="1"/>
                <c:pt idx="0">
                  <c:v>2024 (US$ 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GM_Horizontal!$A$17:$A$24</c:f>
              <c:strCache>
                <c:ptCount val="8"/>
                <c:pt idx="0">
                  <c:v>Total Current Assets</c:v>
                </c:pt>
                <c:pt idx="1">
                  <c:v>Total Non-Current Assets</c:v>
                </c:pt>
                <c:pt idx="2">
                  <c:v>Total Assets</c:v>
                </c:pt>
                <c:pt idx="3">
                  <c:v>Total Current Liabilities</c:v>
                </c:pt>
                <c:pt idx="4">
                  <c:v>Total Non-Current Liabilities</c:v>
                </c:pt>
                <c:pt idx="5">
                  <c:v>Total Liabilities</c:v>
                </c:pt>
                <c:pt idx="6">
                  <c:v>Total Stockholders' Equity</c:v>
                </c:pt>
                <c:pt idx="7">
                  <c:v>Total Liabilities and Equity</c:v>
                </c:pt>
              </c:strCache>
            </c:strRef>
          </c:cat>
          <c:val>
            <c:numRef>
              <c:f>GM_Horizontal!$B$17:$B$24</c:f>
              <c:numCache>
                <c:formatCode>#,##0</c:formatCode>
                <c:ptCount val="8"/>
                <c:pt idx="0">
                  <c:v>108545</c:v>
                </c:pt>
                <c:pt idx="1">
                  <c:v>171216</c:v>
                </c:pt>
                <c:pt idx="2">
                  <c:v>279761</c:v>
                </c:pt>
                <c:pt idx="3">
                  <c:v>96265</c:v>
                </c:pt>
                <c:pt idx="4">
                  <c:v>117906</c:v>
                </c:pt>
                <c:pt idx="5">
                  <c:v>214171</c:v>
                </c:pt>
                <c:pt idx="6">
                  <c:v>63072</c:v>
                </c:pt>
                <c:pt idx="7">
                  <c:v>279761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F-D44F-9A9E-567D9922EEB3}"/>
            </c:ext>
          </c:extLst>
        </c:ser>
        <c:ser>
          <c:idx val="1"/>
          <c:order val="1"/>
          <c:tx>
            <c:strRef>
              <c:f>GM_Horizontal!$C$16</c:f>
              <c:strCache>
                <c:ptCount val="1"/>
                <c:pt idx="0">
                  <c:v>2023 (US$ 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GM_Horizontal!$A$17:$A$24</c:f>
              <c:strCache>
                <c:ptCount val="8"/>
                <c:pt idx="0">
                  <c:v>Total Current Assets</c:v>
                </c:pt>
                <c:pt idx="1">
                  <c:v>Total Non-Current Assets</c:v>
                </c:pt>
                <c:pt idx="2">
                  <c:v>Total Assets</c:v>
                </c:pt>
                <c:pt idx="3">
                  <c:v>Total Current Liabilities</c:v>
                </c:pt>
                <c:pt idx="4">
                  <c:v>Total Non-Current Liabilities</c:v>
                </c:pt>
                <c:pt idx="5">
                  <c:v>Total Liabilities</c:v>
                </c:pt>
                <c:pt idx="6">
                  <c:v>Total Stockholders' Equity</c:v>
                </c:pt>
                <c:pt idx="7">
                  <c:v>Total Liabilities and Equity</c:v>
                </c:pt>
              </c:strCache>
            </c:strRef>
          </c:cat>
          <c:val>
            <c:numRef>
              <c:f>GM_Horizontal!$C$17:$C$24</c:f>
              <c:numCache>
                <c:formatCode>#,##0</c:formatCode>
                <c:ptCount val="8"/>
                <c:pt idx="0">
                  <c:v>101618</c:v>
                </c:pt>
                <c:pt idx="1">
                  <c:v>171446</c:v>
                </c:pt>
                <c:pt idx="2">
                  <c:v>273064</c:v>
                </c:pt>
                <c:pt idx="3">
                  <c:v>94445</c:v>
                </c:pt>
                <c:pt idx="4">
                  <c:v>110312</c:v>
                </c:pt>
                <c:pt idx="5">
                  <c:v>204757</c:v>
                </c:pt>
                <c:pt idx="6">
                  <c:v>64286</c:v>
                </c:pt>
                <c:pt idx="7">
                  <c:v>273064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F-D44F-9A9E-567D9922E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1882239"/>
        <c:axId val="558239679"/>
      </c:barChart>
      <c:lineChart>
        <c:grouping val="standard"/>
        <c:varyColors val="0"/>
        <c:ser>
          <c:idx val="3"/>
          <c:order val="2"/>
          <c:tx>
            <c:strRef>
              <c:f>GM_Horizontal!$E$16</c:f>
              <c:strCache>
                <c:ptCount val="1"/>
                <c:pt idx="0">
                  <c:v>Change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GM_Horizontal!$A$17:$A$24</c:f>
              <c:strCache>
                <c:ptCount val="8"/>
                <c:pt idx="0">
                  <c:v>Total Current Assets</c:v>
                </c:pt>
                <c:pt idx="1">
                  <c:v>Total Non-Current Assets</c:v>
                </c:pt>
                <c:pt idx="2">
                  <c:v>Total Assets</c:v>
                </c:pt>
                <c:pt idx="3">
                  <c:v>Total Current Liabilities</c:v>
                </c:pt>
                <c:pt idx="4">
                  <c:v>Total Non-Current Liabilities</c:v>
                </c:pt>
                <c:pt idx="5">
                  <c:v>Total Liabilities</c:v>
                </c:pt>
                <c:pt idx="6">
                  <c:v>Total Stockholders' Equity</c:v>
                </c:pt>
                <c:pt idx="7">
                  <c:v>Total Liabilities and Equity</c:v>
                </c:pt>
              </c:strCache>
            </c:strRef>
          </c:cat>
          <c:val>
            <c:numRef>
              <c:f>GM_Horizontal!$E$17:$E$24</c:f>
              <c:numCache>
                <c:formatCode>0.0%;\ \(0.0%\)</c:formatCode>
                <c:ptCount val="8"/>
                <c:pt idx="0">
                  <c:v>6.8167057017457539E-2</c:v>
                </c:pt>
                <c:pt idx="1">
                  <c:v>-1.3415302777550948E-3</c:v>
                </c:pt>
                <c:pt idx="2">
                  <c:v>2.452538599009756E-2</c:v>
                </c:pt>
                <c:pt idx="3">
                  <c:v>1.9270474879559532E-2</c:v>
                </c:pt>
                <c:pt idx="4">
                  <c:v>6.8841105228805571E-2</c:v>
                </c:pt>
                <c:pt idx="5">
                  <c:v>4.5976450133572967E-2</c:v>
                </c:pt>
                <c:pt idx="6">
                  <c:v>-1.8884360513953272E-2</c:v>
                </c:pt>
                <c:pt idx="7">
                  <c:v>2.452538599009756E-2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EF-D44F-9A9E-567D9922E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857087"/>
        <c:axId val="491858879"/>
      </c:lineChart>
      <c:catAx>
        <c:axId val="49188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558239679"/>
        <c:crosses val="autoZero"/>
        <c:auto val="1"/>
        <c:lblAlgn val="ctr"/>
        <c:lblOffset val="100"/>
        <c:noMultiLvlLbl val="0"/>
      </c:catAx>
      <c:valAx>
        <c:axId val="55823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91882239"/>
        <c:crosses val="autoZero"/>
        <c:crossBetween val="between"/>
      </c:valAx>
      <c:valAx>
        <c:axId val="491858879"/>
        <c:scaling>
          <c:orientation val="minMax"/>
        </c:scaling>
        <c:delete val="0"/>
        <c:axPos val="r"/>
        <c:numFmt formatCode="0.0%;\ \(0.0%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91857087"/>
        <c:crosses val="max"/>
        <c:crossBetween val="between"/>
      </c:valAx>
      <c:catAx>
        <c:axId val="4918570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1858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Vertical</a:t>
            </a:r>
            <a:r>
              <a:rPr lang="en-US" baseline="0">
                <a:latin typeface="Arial" panose="020B0604020202020204" pitchFamily="34" charset="0"/>
                <a:cs typeface="Arial" panose="020B0604020202020204" pitchFamily="34" charset="0"/>
              </a:rPr>
              <a:t> Analysis - GM Income Statement (2023)</a:t>
            </a: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GM_VERTICAL!$B$2</c:f>
              <c:strCache>
                <c:ptCount val="1"/>
                <c:pt idx="0">
                  <c:v>2023 (US$ 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GM_VERTICAL!$A$3:$A$11</c:f>
              <c:strCache>
                <c:ptCount val="9"/>
                <c:pt idx="0">
                  <c:v>Total net sales and revenue</c:v>
                </c:pt>
                <c:pt idx="1">
                  <c:v>Automotive and other costs of sales</c:v>
                </c:pt>
                <c:pt idx="2">
                  <c:v>GM Financial interest, operating and other expenses</c:v>
                </c:pt>
                <c:pt idx="3">
                  <c:v>Automotive and selling, general &amp; admin (SG&amp;A)</c:v>
                </c:pt>
                <c:pt idx="4">
                  <c:v>Total costs and expenses</c:v>
                </c:pt>
                <c:pt idx="5">
                  <c:v>Operating income</c:v>
                </c:pt>
                <c:pt idx="6">
                  <c:v>Income before income taxes</c:v>
                </c:pt>
                <c:pt idx="7">
                  <c:v>Income tax expense</c:v>
                </c:pt>
                <c:pt idx="8">
                  <c:v>Net income attributable to common stockholders</c:v>
                </c:pt>
              </c:strCache>
            </c:strRef>
          </c:cat>
          <c:val>
            <c:numRef>
              <c:f>GM_VERTICAL!$B$3:$B$11</c:f>
              <c:numCache>
                <c:formatCode>#,##0</c:formatCode>
                <c:ptCount val="9"/>
                <c:pt idx="0">
                  <c:v>171842</c:v>
                </c:pt>
                <c:pt idx="1">
                  <c:v>141330</c:v>
                </c:pt>
                <c:pt idx="2">
                  <c:v>11374</c:v>
                </c:pt>
                <c:pt idx="3">
                  <c:v>9840</c:v>
                </c:pt>
                <c:pt idx="4">
                  <c:v>162544</c:v>
                </c:pt>
                <c:pt idx="5">
                  <c:v>9298</c:v>
                </c:pt>
                <c:pt idx="6">
                  <c:v>10403</c:v>
                </c:pt>
                <c:pt idx="7" formatCode="General">
                  <c:v>563</c:v>
                </c:pt>
                <c:pt idx="8">
                  <c:v>10022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1-1240-976B-740320C9A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274815"/>
        <c:axId val="444283775"/>
      </c:barChart>
      <c:lineChart>
        <c:grouping val="standard"/>
        <c:varyColors val="0"/>
        <c:ser>
          <c:idx val="1"/>
          <c:order val="1"/>
          <c:tx>
            <c:strRef>
              <c:f>GM_VERTICAL!$C$2</c:f>
              <c:strCache>
                <c:ptCount val="1"/>
                <c:pt idx="0">
                  <c:v>2023 (% of sales)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GM_VERTICAL!$A$3:$A$11</c:f>
              <c:strCache>
                <c:ptCount val="9"/>
                <c:pt idx="0">
                  <c:v>Total net sales and revenue</c:v>
                </c:pt>
                <c:pt idx="1">
                  <c:v>Automotive and other costs of sales</c:v>
                </c:pt>
                <c:pt idx="2">
                  <c:v>GM Financial interest, operating and other expenses</c:v>
                </c:pt>
                <c:pt idx="3">
                  <c:v>Automotive and selling, general &amp; admin (SG&amp;A)</c:v>
                </c:pt>
                <c:pt idx="4">
                  <c:v>Total costs and expenses</c:v>
                </c:pt>
                <c:pt idx="5">
                  <c:v>Operating income</c:v>
                </c:pt>
                <c:pt idx="6">
                  <c:v>Income before income taxes</c:v>
                </c:pt>
                <c:pt idx="7">
                  <c:v>Income tax expense</c:v>
                </c:pt>
                <c:pt idx="8">
                  <c:v>Net income attributable to common stockholders</c:v>
                </c:pt>
              </c:strCache>
            </c:strRef>
          </c:cat>
          <c:val>
            <c:numRef>
              <c:f>GM_VERTICAL!$C$3:$C$11</c:f>
              <c:numCache>
                <c:formatCode>0.0%;\ \(0.0%\)</c:formatCode>
                <c:ptCount val="9"/>
                <c:pt idx="0">
                  <c:v>1</c:v>
                </c:pt>
                <c:pt idx="1">
                  <c:v>0.82244154514030332</c:v>
                </c:pt>
                <c:pt idx="2">
                  <c:v>6.6188708231980545E-2</c:v>
                </c:pt>
                <c:pt idx="3">
                  <c:v>5.7261903376357351E-2</c:v>
                </c:pt>
                <c:pt idx="4">
                  <c:v>0.94589215674864124</c:v>
                </c:pt>
                <c:pt idx="5">
                  <c:v>5.4107843251358805E-2</c:v>
                </c:pt>
                <c:pt idx="6">
                  <c:v>6.0538168782951783E-2</c:v>
                </c:pt>
                <c:pt idx="7">
                  <c:v>3.2762654065944296E-3</c:v>
                </c:pt>
                <c:pt idx="8">
                  <c:v>5.8321015816855018E-2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31-1240-976B-740320C9A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268991"/>
        <c:axId val="444272127"/>
      </c:lineChart>
      <c:catAx>
        <c:axId val="44427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444283775"/>
        <c:crosses val="autoZero"/>
        <c:auto val="1"/>
        <c:lblAlgn val="ctr"/>
        <c:lblOffset val="100"/>
        <c:noMultiLvlLbl val="0"/>
      </c:catAx>
      <c:valAx>
        <c:axId val="44428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44274815"/>
        <c:crosses val="autoZero"/>
        <c:crossBetween val="between"/>
      </c:valAx>
      <c:valAx>
        <c:axId val="444272127"/>
        <c:scaling>
          <c:orientation val="minMax"/>
        </c:scaling>
        <c:delete val="0"/>
        <c:axPos val="r"/>
        <c:numFmt formatCode="0.0%;\ 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44268991"/>
        <c:crosses val="max"/>
        <c:crossBetween val="between"/>
      </c:valAx>
      <c:catAx>
        <c:axId val="444268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272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Vertical</a:t>
            </a:r>
            <a:r>
              <a:rPr lang="en-US" baseline="0">
                <a:latin typeface="Arial" panose="020B0604020202020204" pitchFamily="34" charset="0"/>
                <a:cs typeface="Arial" panose="020B0604020202020204" pitchFamily="34" charset="0"/>
              </a:rPr>
              <a:t> Analysis - GM Balance Sheet (Assets, 2023)</a:t>
            </a: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GM_VERTICAL!$B$17</c:f>
              <c:strCache>
                <c:ptCount val="1"/>
                <c:pt idx="0">
                  <c:v>2023 (US$ 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GM_VERTICAL!$A$18:$A$20</c:f>
              <c:strCache>
                <c:ptCount val="3"/>
                <c:pt idx="0">
                  <c:v>Total Current Assets</c:v>
                </c:pt>
                <c:pt idx="1">
                  <c:v>Total Non-Current Assets</c:v>
                </c:pt>
                <c:pt idx="2">
                  <c:v>Total Assets</c:v>
                </c:pt>
              </c:strCache>
            </c:strRef>
          </c:cat>
          <c:val>
            <c:numRef>
              <c:f>GM_VERTICAL!$B$18:$B$20</c:f>
              <c:numCache>
                <c:formatCode>#,##0</c:formatCode>
                <c:ptCount val="3"/>
                <c:pt idx="0">
                  <c:v>101618</c:v>
                </c:pt>
                <c:pt idx="1">
                  <c:v>171446</c:v>
                </c:pt>
                <c:pt idx="2">
                  <c:v>273064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B-DB45-A064-7A0E9B1E6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221951"/>
        <c:axId val="436219711"/>
      </c:barChart>
      <c:lineChart>
        <c:grouping val="standard"/>
        <c:varyColors val="0"/>
        <c:ser>
          <c:idx val="1"/>
          <c:order val="1"/>
          <c:tx>
            <c:strRef>
              <c:f>GM_VERTICAL!$C$17</c:f>
              <c:strCache>
                <c:ptCount val="1"/>
                <c:pt idx="0">
                  <c:v>2023 (% of Total Assets)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GM_VERTICAL!$A$18:$A$20</c:f>
              <c:strCache>
                <c:ptCount val="3"/>
                <c:pt idx="0">
                  <c:v>Total Current Assets</c:v>
                </c:pt>
                <c:pt idx="1">
                  <c:v>Total Non-Current Assets</c:v>
                </c:pt>
                <c:pt idx="2">
                  <c:v>Total Assets</c:v>
                </c:pt>
              </c:strCache>
            </c:strRef>
          </c:cat>
          <c:val>
            <c:numRef>
              <c:f>GM_VERTICAL!$C$18:$C$20</c:f>
              <c:numCache>
                <c:formatCode>0.0%;\ \(0.0%\)</c:formatCode>
                <c:ptCount val="3"/>
                <c:pt idx="0">
                  <c:v>0.37213986464711568</c:v>
                </c:pt>
                <c:pt idx="1">
                  <c:v>0.62786013535288432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4B-DB45-A064-7A0E9B1E6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247103"/>
        <c:axId val="439886591"/>
      </c:lineChart>
      <c:catAx>
        <c:axId val="43622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436219711"/>
        <c:crosses val="autoZero"/>
        <c:auto val="1"/>
        <c:lblAlgn val="ctr"/>
        <c:lblOffset val="100"/>
        <c:noMultiLvlLbl val="0"/>
      </c:catAx>
      <c:valAx>
        <c:axId val="43621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6221951"/>
        <c:crosses val="autoZero"/>
        <c:crossBetween val="between"/>
      </c:valAx>
      <c:valAx>
        <c:axId val="439886591"/>
        <c:scaling>
          <c:orientation val="minMax"/>
        </c:scaling>
        <c:delete val="0"/>
        <c:axPos val="r"/>
        <c:numFmt formatCode="0.0%;\ 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6247103"/>
        <c:crosses val="max"/>
        <c:crossBetween val="between"/>
      </c:valAx>
      <c:catAx>
        <c:axId val="436247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9886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A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Vertical Analysis - GM Balance Sheet (Liabilities &amp; Equity,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GM_VERTICAL!$B$23</c:f>
              <c:strCache>
                <c:ptCount val="1"/>
                <c:pt idx="0">
                  <c:v>2023 (US$ 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GM_VERTICAL!$A$24:$A$28</c:f>
              <c:strCache>
                <c:ptCount val="5"/>
                <c:pt idx="0">
                  <c:v>Total Current Liabilities</c:v>
                </c:pt>
                <c:pt idx="1">
                  <c:v>Total Non-Current Liabilities</c:v>
                </c:pt>
                <c:pt idx="2">
                  <c:v>Total Liabilities</c:v>
                </c:pt>
                <c:pt idx="3">
                  <c:v>Total Stockholders' Equity</c:v>
                </c:pt>
                <c:pt idx="4">
                  <c:v>Total Liabilities and Equity</c:v>
                </c:pt>
              </c:strCache>
            </c:strRef>
          </c:cat>
          <c:val>
            <c:numRef>
              <c:f>GM_VERTICAL!$B$24:$B$28</c:f>
              <c:numCache>
                <c:formatCode>#,##0</c:formatCode>
                <c:ptCount val="5"/>
                <c:pt idx="0">
                  <c:v>94445</c:v>
                </c:pt>
                <c:pt idx="1">
                  <c:v>110312</c:v>
                </c:pt>
                <c:pt idx="2">
                  <c:v>204757</c:v>
                </c:pt>
                <c:pt idx="3">
                  <c:v>64286</c:v>
                </c:pt>
                <c:pt idx="4">
                  <c:v>273064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6-1C40-BADD-E7309291A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196991"/>
        <c:axId val="433205055"/>
      </c:barChart>
      <c:lineChart>
        <c:grouping val="standard"/>
        <c:varyColors val="0"/>
        <c:ser>
          <c:idx val="1"/>
          <c:order val="1"/>
          <c:tx>
            <c:strRef>
              <c:f>GM_VERTICAL!$C$23</c:f>
              <c:strCache>
                <c:ptCount val="1"/>
                <c:pt idx="0">
                  <c:v>2023 (% of Total Liabilities &amp; Equity)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GM_VERTICAL!$A$24:$A$28</c:f>
              <c:strCache>
                <c:ptCount val="5"/>
                <c:pt idx="0">
                  <c:v>Total Current Liabilities</c:v>
                </c:pt>
                <c:pt idx="1">
                  <c:v>Total Non-Current Liabilities</c:v>
                </c:pt>
                <c:pt idx="2">
                  <c:v>Total Liabilities</c:v>
                </c:pt>
                <c:pt idx="3">
                  <c:v>Total Stockholders' Equity</c:v>
                </c:pt>
                <c:pt idx="4">
                  <c:v>Total Liabilities and Equity</c:v>
                </c:pt>
              </c:strCache>
            </c:strRef>
          </c:cat>
          <c:val>
            <c:numRef>
              <c:f>GM_VERTICAL!$C$24:$C$28</c:f>
              <c:numCache>
                <c:formatCode>0.0%;\ \(0.0%\)</c:formatCode>
                <c:ptCount val="5"/>
                <c:pt idx="0">
                  <c:v>0.34587129757126533</c:v>
                </c:pt>
                <c:pt idx="1">
                  <c:v>0.40397855447807107</c:v>
                </c:pt>
                <c:pt idx="2">
                  <c:v>0.74984985204933641</c:v>
                </c:pt>
                <c:pt idx="3">
                  <c:v>0.23542466235021825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6-1C40-BADD-E7309291A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727231"/>
        <c:axId val="439718271"/>
      </c:lineChart>
      <c:catAx>
        <c:axId val="43319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433205055"/>
        <c:crosses val="autoZero"/>
        <c:auto val="1"/>
        <c:lblAlgn val="ctr"/>
        <c:lblOffset val="100"/>
        <c:noMultiLvlLbl val="0"/>
      </c:catAx>
      <c:valAx>
        <c:axId val="43320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3196991"/>
        <c:crosses val="autoZero"/>
        <c:crossBetween val="between"/>
      </c:valAx>
      <c:valAx>
        <c:axId val="439718271"/>
        <c:scaling>
          <c:orientation val="minMax"/>
        </c:scaling>
        <c:delete val="0"/>
        <c:axPos val="r"/>
        <c:numFmt formatCode="0.0%;\ 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9727231"/>
        <c:crosses val="max"/>
        <c:crossBetween val="between"/>
      </c:valAx>
      <c:catAx>
        <c:axId val="4397272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97182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A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 - Revenue and</a:t>
            </a:r>
            <a:r>
              <a:rPr lang="en-US" baseline="0"/>
              <a:t> Net Profit Trend (2020-2024)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Analysis'!$A$13</c:f>
              <c:strCache>
                <c:ptCount val="1"/>
                <c:pt idx="0">
                  <c:v> Total Revenue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Analysis'!$B$13:$F$13</c:f>
              <c:numCache>
                <c:formatCode>_(* #,##0_);_(* \(#,##0\);_(* "-"_);_(@_)</c:formatCode>
                <c:ptCount val="5"/>
                <c:pt idx="0">
                  <c:v>122485</c:v>
                </c:pt>
                <c:pt idx="1">
                  <c:v>127004</c:v>
                </c:pt>
                <c:pt idx="2">
                  <c:v>156735</c:v>
                </c:pt>
                <c:pt idx="3">
                  <c:v>171842</c:v>
                </c:pt>
                <c:pt idx="4">
                  <c:v>187442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A-5C44-BBA3-A8802AC2C74F}"/>
            </c:ext>
          </c:extLst>
        </c:ser>
        <c:ser>
          <c:idx val="1"/>
          <c:order val="1"/>
          <c:tx>
            <c:strRef>
              <c:f>'Trend Analysis'!$A$14</c:f>
              <c:strCache>
                <c:ptCount val="1"/>
                <c:pt idx="0">
                  <c:v> Net Operating Profits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Analysis'!$B$14:$F$14</c:f>
              <c:numCache>
                <c:formatCode>_(* #,##0_);_(* \(#,##0\);_(* "-"_);_(@_)</c:formatCode>
                <c:ptCount val="5"/>
                <c:pt idx="0">
                  <c:v>6247</c:v>
                </c:pt>
                <c:pt idx="1">
                  <c:v>9837</c:v>
                </c:pt>
                <c:pt idx="2">
                  <c:v>8915</c:v>
                </c:pt>
                <c:pt idx="3">
                  <c:v>10022</c:v>
                </c:pt>
                <c:pt idx="4">
                  <c:v>7189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8A-5C44-BBA3-A8802AC2C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960384"/>
        <c:axId val="916951424"/>
      </c:lineChart>
      <c:catAx>
        <c:axId val="91696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916951424"/>
        <c:crosses val="autoZero"/>
        <c:auto val="1"/>
        <c:lblAlgn val="ctr"/>
        <c:lblOffset val="100"/>
        <c:noMultiLvlLbl val="0"/>
      </c:catAx>
      <c:valAx>
        <c:axId val="91695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91696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 - Assets,</a:t>
            </a:r>
            <a:r>
              <a:rPr lang="en-US" baseline="0"/>
              <a:t> Liabilities &amp; Equity (2020-2024)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Analysis'!$A$3</c:f>
              <c:strCache>
                <c:ptCount val="1"/>
                <c:pt idx="0">
                  <c:v> Total Assets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Analysis'!$B$3:$F$3</c:f>
              <c:numCache>
                <c:formatCode>_(* #,##0_);_(* \(#,##0\);_(* "-"_);_(@_)</c:formatCode>
                <c:ptCount val="5"/>
                <c:pt idx="0">
                  <c:v>235194</c:v>
                </c:pt>
                <c:pt idx="1">
                  <c:v>244718</c:v>
                </c:pt>
                <c:pt idx="2">
                  <c:v>264037</c:v>
                </c:pt>
                <c:pt idx="3">
                  <c:v>273064</c:v>
                </c:pt>
                <c:pt idx="4">
                  <c:v>279761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B-E645-AFFA-842AB79C7863}"/>
            </c:ext>
          </c:extLst>
        </c:ser>
        <c:ser>
          <c:idx val="1"/>
          <c:order val="1"/>
          <c:tx>
            <c:strRef>
              <c:f>'Trend Analysis'!$A$4</c:f>
              <c:strCache>
                <c:ptCount val="1"/>
                <c:pt idx="0">
                  <c:v> Total Owners' Equity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Analysis'!$B$4:$F$4</c:f>
              <c:numCache>
                <c:formatCode>_(* #,##0_);_(* \(#,##0\);_(* "-"_);_(@_)</c:formatCode>
                <c:ptCount val="5"/>
                <c:pt idx="0">
                  <c:v>45030</c:v>
                </c:pt>
                <c:pt idx="1">
                  <c:v>59744</c:v>
                </c:pt>
                <c:pt idx="2">
                  <c:v>67792</c:v>
                </c:pt>
                <c:pt idx="3">
                  <c:v>64286</c:v>
                </c:pt>
                <c:pt idx="4">
                  <c:v>63072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9B-E645-AFFA-842AB79C7863}"/>
            </c:ext>
          </c:extLst>
        </c:ser>
        <c:ser>
          <c:idx val="2"/>
          <c:order val="2"/>
          <c:tx>
            <c:strRef>
              <c:f>'Trend Analysis'!$A$5</c:f>
              <c:strCache>
                <c:ptCount val="1"/>
                <c:pt idx="0">
                  <c:v> Total Liabilities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Analysis'!$B$5:$F$5</c:f>
              <c:numCache>
                <c:formatCode>_(* #,##0_);_(* \(#,##0\);_(* "-"_);_(@_)</c:formatCode>
                <c:ptCount val="5"/>
                <c:pt idx="0">
                  <c:v>185517</c:v>
                </c:pt>
                <c:pt idx="1">
                  <c:v>178903</c:v>
                </c:pt>
                <c:pt idx="2">
                  <c:v>191752</c:v>
                </c:pt>
                <c:pt idx="3">
                  <c:v>204757</c:v>
                </c:pt>
                <c:pt idx="4">
                  <c:v>214171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9B-E645-AFFA-842AB79C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01408"/>
        <c:axId val="955909440"/>
      </c:lineChart>
      <c:catAx>
        <c:axId val="9156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955909440"/>
        <c:crosses val="autoZero"/>
        <c:auto val="1"/>
        <c:lblAlgn val="ctr"/>
        <c:lblOffset val="100"/>
        <c:noMultiLvlLbl val="0"/>
      </c:catAx>
      <c:valAx>
        <c:axId val="9559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91560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 - ROA and ROE Trend (2020-2024)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Analysis'!$A$6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Analysis'!$B$6:$F$6</c:f>
              <c:numCache>
                <c:formatCode>0.0%;\ \(0.0%\)</c:formatCode>
                <c:ptCount val="5"/>
                <c:pt idx="0">
                  <c:v>2.6561051727510054E-2</c:v>
                </c:pt>
                <c:pt idx="1">
                  <c:v>4.0197288307357859E-2</c:v>
                </c:pt>
                <c:pt idx="2">
                  <c:v>3.3764207289129933E-2</c:v>
                </c:pt>
                <c:pt idx="3">
                  <c:v>3.6702018574400141E-2</c:v>
                </c:pt>
                <c:pt idx="4">
                  <c:v>2.5696934168808375E-2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16-1940-8867-858953D76480}"/>
            </c:ext>
          </c:extLst>
        </c:ser>
        <c:ser>
          <c:idx val="1"/>
          <c:order val="1"/>
          <c:tx>
            <c:strRef>
              <c:f>'Trend Analysis'!$A$7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Analysis'!$B$7:$F$7</c:f>
              <c:numCache>
                <c:formatCode>0.0%;\ \(0.0%\)</c:formatCode>
                <c:ptCount val="5"/>
                <c:pt idx="0">
                  <c:v>0.13872973573173439</c:v>
                </c:pt>
                <c:pt idx="1">
                  <c:v>0.16465251740760578</c:v>
                </c:pt>
                <c:pt idx="2">
                  <c:v>0.13150519235308</c:v>
                </c:pt>
                <c:pt idx="3">
                  <c:v>0.15589708490184487</c:v>
                </c:pt>
                <c:pt idx="4">
                  <c:v>0.11398084728564181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16-1940-8867-858953D76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326592"/>
        <c:axId val="967323904"/>
      </c:lineChart>
      <c:catAx>
        <c:axId val="96732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967323904"/>
        <c:crosses val="autoZero"/>
        <c:auto val="1"/>
        <c:lblAlgn val="ctr"/>
        <c:lblOffset val="100"/>
        <c:noMultiLvlLbl val="0"/>
      </c:catAx>
      <c:valAx>
        <c:axId val="96732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 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9673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Stellantis</a:t>
            </a:r>
            <a:r>
              <a:rPr lang="en-US" baseline="0"/>
              <a:t> - Revenue and Net Profit Trend (2020-2024)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Analysis'!$J$13</c:f>
              <c:strCache>
                <c:ptCount val="1"/>
                <c:pt idx="0">
                  <c:v> Total Revenue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Analysis'!$K$2:$O$2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Analysis'!$K$13:$O$13</c:f>
              <c:numCache>
                <c:formatCode>_(* #,##0_);_(* \(#,##0\);_(* "-"_);_(@_)</c:formatCode>
                <c:ptCount val="5"/>
                <c:pt idx="0">
                  <c:v>54327.839999999997</c:v>
                </c:pt>
                <c:pt idx="1">
                  <c:v>176314.41999999998</c:v>
                </c:pt>
                <c:pt idx="2">
                  <c:v>188571.6</c:v>
                </c:pt>
                <c:pt idx="3">
                  <c:v>204707.52000000002</c:v>
                </c:pt>
                <c:pt idx="4">
                  <c:v>169428.24000000002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4-2A4B-9320-3FF7C527FD95}"/>
            </c:ext>
          </c:extLst>
        </c:ser>
        <c:ser>
          <c:idx val="1"/>
          <c:order val="1"/>
          <c:tx>
            <c:strRef>
              <c:f>'Trend Analysis'!$J$14</c:f>
              <c:strCache>
                <c:ptCount val="1"/>
                <c:pt idx="0">
                  <c:v> Net Operating Profits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Analysis'!$K$2:$O$2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Analysis'!$K$14:$O$14</c:f>
              <c:numCache>
                <c:formatCode>_(* #,##0_);_(* \(#,##0\);_(* "-"_);_(@_)</c:formatCode>
                <c:ptCount val="5"/>
                <c:pt idx="0">
                  <c:v>2477.2199999999998</c:v>
                </c:pt>
                <c:pt idx="1">
                  <c:v>16756</c:v>
                </c:pt>
                <c:pt idx="2">
                  <c:v>17638.95</c:v>
                </c:pt>
                <c:pt idx="3">
                  <c:v>20083.68</c:v>
                </c:pt>
                <c:pt idx="4">
                  <c:v>5910.84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94-2A4B-9320-3FF7C527F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922176"/>
        <c:axId val="581800320"/>
      </c:lineChart>
      <c:catAx>
        <c:axId val="58192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581800320"/>
        <c:crosses val="autoZero"/>
        <c:auto val="1"/>
        <c:lblAlgn val="ctr"/>
        <c:lblOffset val="100"/>
        <c:noMultiLvlLbl val="0"/>
      </c:catAx>
      <c:valAx>
        <c:axId val="58180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58192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Stellantis - Assets, Liabilities &amp; Equity (2020-2024)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Analysis'!$J$3</c:f>
              <c:strCache>
                <c:ptCount val="1"/>
                <c:pt idx="0">
                  <c:v> Total Assets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Analysis'!$K$2:$O$2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Analysis'!$K$3:$O$3</c:f>
              <c:numCache>
                <c:formatCode>_(* #,##0_);_(* \(#,##0\);_(* "-"_);_(@_)</c:formatCode>
                <c:ptCount val="5"/>
                <c:pt idx="0">
                  <c:v>85824.9</c:v>
                </c:pt>
                <c:pt idx="1">
                  <c:v>202683.87999999998</c:v>
                </c:pt>
                <c:pt idx="2">
                  <c:v>195463.80000000002</c:v>
                </c:pt>
                <c:pt idx="3">
                  <c:v>218298.24000000002</c:v>
                </c:pt>
                <c:pt idx="4">
                  <c:v>224215.56000000003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C-8846-8A0D-4233D00C136D}"/>
            </c:ext>
          </c:extLst>
        </c:ser>
        <c:ser>
          <c:idx val="1"/>
          <c:order val="1"/>
          <c:tx>
            <c:strRef>
              <c:f>'Trend Analysis'!$J$4</c:f>
              <c:strCache>
                <c:ptCount val="1"/>
                <c:pt idx="0">
                  <c:v> Total Owners' Equity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Analysis'!$K$2:$O$2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Analysis'!$K$4:$O$4</c:f>
              <c:numCache>
                <c:formatCode>_(* #,##0_);_(* \(#,##0\);_(* "-"_);_(@_)</c:formatCode>
                <c:ptCount val="5"/>
                <c:pt idx="0">
                  <c:v>24274.019999999997</c:v>
                </c:pt>
                <c:pt idx="1">
                  <c:v>65970.259999999995</c:v>
                </c:pt>
                <c:pt idx="2">
                  <c:v>75598.95</c:v>
                </c:pt>
                <c:pt idx="3">
                  <c:v>88228.44</c:v>
                </c:pt>
                <c:pt idx="4">
                  <c:v>88227.36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C-8846-8A0D-4233D00C136D}"/>
            </c:ext>
          </c:extLst>
        </c:ser>
        <c:ser>
          <c:idx val="2"/>
          <c:order val="2"/>
          <c:tx>
            <c:strRef>
              <c:f>'Trend Analysis'!$J$5</c:f>
              <c:strCache>
                <c:ptCount val="1"/>
                <c:pt idx="0">
                  <c:v> Total Liabilities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Analysis'!$K$2:$O$2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Analysis'!$K$5:$O$5</c:f>
              <c:numCache>
                <c:formatCode>_(* #,##0_);_(* \(#,##0\);_(* "-"_);_(@_)</c:formatCode>
                <c:ptCount val="5"/>
                <c:pt idx="0">
                  <c:v>58609.679999999993</c:v>
                </c:pt>
                <c:pt idx="1">
                  <c:v>136241.62</c:v>
                </c:pt>
                <c:pt idx="2">
                  <c:v>119462.70000000001</c:v>
                </c:pt>
                <c:pt idx="3">
                  <c:v>129608.64000000001</c:v>
                </c:pt>
                <c:pt idx="4">
                  <c:v>135531.36000000002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FC-8846-8A0D-4233D00C1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918144"/>
        <c:axId val="553536128"/>
      </c:lineChart>
      <c:catAx>
        <c:axId val="58191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553536128"/>
        <c:crosses val="autoZero"/>
        <c:auto val="1"/>
        <c:lblAlgn val="ctr"/>
        <c:lblOffset val="100"/>
        <c:noMultiLvlLbl val="0"/>
      </c:catAx>
      <c:valAx>
        <c:axId val="55353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58191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Stellantis - ROA and ROE Trend (2020-2024)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Analysis'!$J$6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Analysis'!$K$2:$O$2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Analysis'!$K$6:$O$6</c:f>
              <c:numCache>
                <c:formatCode>0.0%;\ \(0.0%\)</c:formatCode>
                <c:ptCount val="5"/>
                <c:pt idx="0">
                  <c:v>2.8863651457793717E-2</c:v>
                </c:pt>
                <c:pt idx="1">
                  <c:v>8.267061001595194E-2</c:v>
                </c:pt>
                <c:pt idx="2">
                  <c:v>9.0241517866735427E-2</c:v>
                </c:pt>
                <c:pt idx="3">
                  <c:v>9.2001108208659865E-2</c:v>
                </c:pt>
                <c:pt idx="4">
                  <c:v>2.6362309556036165E-2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A-F140-AFAA-0CA06DC36A72}"/>
            </c:ext>
          </c:extLst>
        </c:ser>
        <c:ser>
          <c:idx val="1"/>
          <c:order val="1"/>
          <c:tx>
            <c:strRef>
              <c:f>'Trend Analysis'!$J$7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Analysis'!$K$2:$O$2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'Trend Analysis'!$K$7:$O$7</c:f>
              <c:numCache>
                <c:formatCode>0.0%;\ \(0.0%\)</c:formatCode>
                <c:ptCount val="5"/>
                <c:pt idx="0">
                  <c:v>0.10205231766308176</c:v>
                </c:pt>
                <c:pt idx="1">
                  <c:v>0.25399323877153129</c:v>
                </c:pt>
                <c:pt idx="2">
                  <c:v>0.23332268503729217</c:v>
                </c:pt>
                <c:pt idx="3">
                  <c:v>0.22763272250988456</c:v>
                </c:pt>
                <c:pt idx="4">
                  <c:v>6.6995544239337998E-2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EA-F140-AFAA-0CA06DC36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786496"/>
        <c:axId val="605797248"/>
      </c:lineChart>
      <c:catAx>
        <c:axId val="60578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605797248"/>
        <c:crosses val="autoZero"/>
        <c:auto val="1"/>
        <c:lblAlgn val="ctr"/>
        <c:lblOffset val="100"/>
        <c:noMultiLvlLbl val="0"/>
      </c:catAx>
      <c:valAx>
        <c:axId val="60579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 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6057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Liquidity Ratios - GM vs Stellantis</a:t>
            </a:r>
            <a:r>
              <a:rPr lang="en-US" b="0" baseline="0"/>
              <a:t> (2023-2024)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Analysis'!$A$3:$B$3</c:f>
              <c:strCache>
                <c:ptCount val="2"/>
                <c:pt idx="0">
                  <c:v>Net Working Capital (US$ m)</c:v>
                </c:pt>
                <c:pt idx="1">
                  <c:v>Current Assets - Current Liabilities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Analysis'!$C$2:$F$2</c:f>
              <c:strCache>
                <c:ptCount val="4"/>
                <c:pt idx="0">
                  <c:v>GM 2023</c:v>
                </c:pt>
                <c:pt idx="1">
                  <c:v>GM 2024</c:v>
                </c:pt>
                <c:pt idx="2">
                  <c:v>STELLANTIS 2023</c:v>
                </c:pt>
                <c:pt idx="3">
                  <c:v>STELLANTIS 2024</c:v>
                </c:pt>
              </c:strCache>
            </c:strRef>
          </c:cat>
          <c:val>
            <c:numRef>
              <c:f>'Ratio Analysis'!$C$3:$F$3</c:f>
              <c:numCache>
                <c:formatCode>#,##0</c:formatCode>
                <c:ptCount val="4"/>
                <c:pt idx="0">
                  <c:v>7173</c:v>
                </c:pt>
                <c:pt idx="1">
                  <c:v>12280</c:v>
                </c:pt>
                <c:pt idx="2" formatCode="_(* #,##0_);_(* \(#,##0\);_(* &quot;-&quot;_);_(@_)">
                  <c:v>18986</c:v>
                </c:pt>
                <c:pt idx="3" formatCode="_(* #,##0_);_(* \(#,##0\);_(* &quot;-&quot;_);_(@_)">
                  <c:v>6903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C-2044-9B61-3991A95F8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1232256"/>
        <c:axId val="491239872"/>
      </c:barChart>
      <c:lineChart>
        <c:grouping val="standard"/>
        <c:varyColors val="0"/>
        <c:ser>
          <c:idx val="1"/>
          <c:order val="1"/>
          <c:tx>
            <c:strRef>
              <c:f>'Ratio Analysis'!$A$4:$B$4</c:f>
              <c:strCache>
                <c:ptCount val="2"/>
                <c:pt idx="0">
                  <c:v>Current Ratio</c:v>
                </c:pt>
                <c:pt idx="1">
                  <c:v>Current Assets / Current Liabilies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Analysis'!$C$2:$F$2</c:f>
              <c:strCache>
                <c:ptCount val="4"/>
                <c:pt idx="0">
                  <c:v>GM 2023</c:v>
                </c:pt>
                <c:pt idx="1">
                  <c:v>GM 2024</c:v>
                </c:pt>
                <c:pt idx="2">
                  <c:v>STELLANTIS 2023</c:v>
                </c:pt>
                <c:pt idx="3">
                  <c:v>STELLANTIS 2024</c:v>
                </c:pt>
              </c:strCache>
            </c:strRef>
          </c:cat>
          <c:val>
            <c:numRef>
              <c:f>'Ratio Analysis'!$C$4:$F$4</c:f>
              <c:numCache>
                <c:formatCode>General</c:formatCode>
                <c:ptCount val="4"/>
                <c:pt idx="0">
                  <c:v>1.08</c:v>
                </c:pt>
                <c:pt idx="1">
                  <c:v>1.1299999999999999</c:v>
                </c:pt>
                <c:pt idx="2">
                  <c:v>1.24</c:v>
                </c:pt>
                <c:pt idx="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C-2044-9B61-3991A95F8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229120"/>
        <c:axId val="491229568"/>
      </c:lineChart>
      <c:catAx>
        <c:axId val="49123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91239872"/>
        <c:auto val="1"/>
        <c:lblAlgn val="ctr"/>
        <c:lblOffset val="100"/>
        <c:noMultiLvlLbl val="0"/>
      </c:catAx>
      <c:valAx>
        <c:axId val="49123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91232256"/>
        <c:crossBetween val="between"/>
      </c:valAx>
      <c:valAx>
        <c:axId val="49122956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91229120"/>
        <c:crosses val="max"/>
        <c:crossBetween val="between"/>
      </c:valAx>
      <c:catAx>
        <c:axId val="491229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12295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Activity</a:t>
            </a:r>
            <a:r>
              <a:rPr lang="en-US" baseline="0"/>
              <a:t> Ratios - GM vs Stellantis (2023-2024)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Analysis'!$A$10</c:f>
              <c:strCache>
                <c:ptCount val="1"/>
                <c:pt idx="0">
                  <c:v>Inventory Turnover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Analysis'!$C$9:$F$9</c:f>
              <c:strCache>
                <c:ptCount val="4"/>
                <c:pt idx="0">
                  <c:v>GM 2023</c:v>
                </c:pt>
                <c:pt idx="1">
                  <c:v>GM 2024</c:v>
                </c:pt>
                <c:pt idx="2">
                  <c:v>STELLANTIS 2023</c:v>
                </c:pt>
                <c:pt idx="3">
                  <c:v>STELLANTIS 2024</c:v>
                </c:pt>
              </c:strCache>
            </c:strRef>
          </c:cat>
          <c:val>
            <c:numRef>
              <c:f>'Ratio Analysis'!$C$10:$F$10</c:f>
              <c:numCache>
                <c:formatCode>General</c:formatCode>
                <c:ptCount val="4"/>
                <c:pt idx="0">
                  <c:v>8.9</c:v>
                </c:pt>
                <c:pt idx="1">
                  <c:v>9.6999999999999993</c:v>
                </c:pt>
                <c:pt idx="2">
                  <c:v>7.8</c:v>
                </c:pt>
                <c:pt idx="3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7-6146-9CA7-C30820D71D95}"/>
            </c:ext>
          </c:extLst>
        </c:ser>
        <c:ser>
          <c:idx val="1"/>
          <c:order val="1"/>
          <c:tx>
            <c:strRef>
              <c:f>'Ratio Analysis'!$A$11</c:f>
              <c:strCache>
                <c:ptCount val="1"/>
                <c:pt idx="0">
                  <c:v>Receivables Turnover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Analysis'!$C$9:$F$9</c:f>
              <c:strCache>
                <c:ptCount val="4"/>
                <c:pt idx="0">
                  <c:v>GM 2023</c:v>
                </c:pt>
                <c:pt idx="1">
                  <c:v>GM 2024</c:v>
                </c:pt>
                <c:pt idx="2">
                  <c:v>STELLANTIS 2023</c:v>
                </c:pt>
                <c:pt idx="3">
                  <c:v>STELLANTIS 2024</c:v>
                </c:pt>
              </c:strCache>
            </c:strRef>
          </c:cat>
          <c:val>
            <c:numRef>
              <c:f>'Ratio Analysis'!$C$11:$F$11</c:f>
              <c:numCache>
                <c:formatCode>General</c:formatCode>
                <c:ptCount val="4"/>
                <c:pt idx="0">
                  <c:v>13.4</c:v>
                </c:pt>
                <c:pt idx="1">
                  <c:v>14.9</c:v>
                </c:pt>
                <c:pt idx="2">
                  <c:v>33.4</c:v>
                </c:pt>
                <c:pt idx="3">
                  <c:v>26.3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7-6146-9CA7-C30820D71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8948672"/>
        <c:axId val="490799104"/>
      </c:barChart>
      <c:lineChart>
        <c:grouping val="standard"/>
        <c:varyColors val="0"/>
        <c:ser>
          <c:idx val="2"/>
          <c:order val="2"/>
          <c:tx>
            <c:strRef>
              <c:f>'Ratio Analysis'!$A$12</c:f>
              <c:strCache>
                <c:ptCount val="1"/>
                <c:pt idx="0">
                  <c:v>Payables Turnover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Analysis'!$C$9:$F$9</c:f>
              <c:strCache>
                <c:ptCount val="4"/>
                <c:pt idx="0">
                  <c:v>GM 2023</c:v>
                </c:pt>
                <c:pt idx="1">
                  <c:v>GM 2024</c:v>
                </c:pt>
                <c:pt idx="2">
                  <c:v>STELLANTIS 2023</c:v>
                </c:pt>
                <c:pt idx="3">
                  <c:v>STELLANTIS 2024</c:v>
                </c:pt>
              </c:strCache>
            </c:strRef>
          </c:cat>
          <c:val>
            <c:numRef>
              <c:f>'Ratio Analysis'!$C$12:$F$12</c:f>
              <c:numCache>
                <c:formatCode>General</c:formatCode>
                <c:ptCount val="4"/>
                <c:pt idx="0">
                  <c:v>5.0999999999999996</c:v>
                </c:pt>
                <c:pt idx="1">
                  <c:v>5.6</c:v>
                </c:pt>
                <c:pt idx="2">
                  <c:v>4.7</c:v>
                </c:pt>
                <c:pt idx="3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87-6146-9CA7-C30820D71D95}"/>
            </c:ext>
          </c:extLst>
        </c:ser>
        <c:ser>
          <c:idx val="3"/>
          <c:order val="3"/>
          <c:tx>
            <c:strRef>
              <c:f>'Ratio Analysis'!$A$13</c:f>
              <c:strCache>
                <c:ptCount val="1"/>
                <c:pt idx="0">
                  <c:v>Assets Turnover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Analysis'!$C$9:$F$9</c:f>
              <c:strCache>
                <c:ptCount val="4"/>
                <c:pt idx="0">
                  <c:v>GM 2023</c:v>
                </c:pt>
                <c:pt idx="1">
                  <c:v>GM 2024</c:v>
                </c:pt>
                <c:pt idx="2">
                  <c:v>STELLANTIS 2023</c:v>
                </c:pt>
                <c:pt idx="3">
                  <c:v>STELLANTIS 2024</c:v>
                </c:pt>
              </c:strCache>
            </c:strRef>
          </c:cat>
          <c:val>
            <c:numRef>
              <c:f>'Ratio Analysis'!$C$13:$F$13</c:f>
              <c:numCache>
                <c:formatCode>General</c:formatCode>
                <c:ptCount val="4"/>
                <c:pt idx="0">
                  <c:v>0.64</c:v>
                </c:pt>
                <c:pt idx="1">
                  <c:v>0.68</c:v>
                </c:pt>
                <c:pt idx="2">
                  <c:v>0.98</c:v>
                </c:pt>
                <c:pt idx="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87-6146-9CA7-C30820D71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115712"/>
        <c:axId val="502277760"/>
      </c:lineChart>
      <c:catAx>
        <c:axId val="49894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90799104"/>
        <c:auto val="1"/>
        <c:lblAlgn val="ctr"/>
        <c:lblOffset val="100"/>
        <c:noMultiLvlLbl val="0"/>
      </c:catAx>
      <c:valAx>
        <c:axId val="49079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98948672"/>
        <c:crossBetween val="between"/>
      </c:valAx>
      <c:valAx>
        <c:axId val="5022777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541115712"/>
        <c:crosses val="max"/>
        <c:crossBetween val="between"/>
      </c:valAx>
      <c:catAx>
        <c:axId val="5411157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22777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Solvency</a:t>
            </a:r>
            <a:r>
              <a:rPr lang="en-US" baseline="0"/>
              <a:t> &amp; Debt Management - GM vs Stellantis (2023-2024)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Analysis'!$A$19</c:f>
              <c:strCache>
                <c:ptCount val="1"/>
                <c:pt idx="0">
                  <c:v>Debt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Analysis'!$C$18:$F$18</c:f>
              <c:strCache>
                <c:ptCount val="4"/>
                <c:pt idx="0">
                  <c:v>GM 2023</c:v>
                </c:pt>
                <c:pt idx="1">
                  <c:v>GM 2024</c:v>
                </c:pt>
                <c:pt idx="2">
                  <c:v>STELLANTIS 2023</c:v>
                </c:pt>
                <c:pt idx="3">
                  <c:v>STELLANTIS 2024</c:v>
                </c:pt>
              </c:strCache>
            </c:strRef>
          </c:cat>
          <c:val>
            <c:numRef>
              <c:f>'Ratio Analysis'!$C$19:$F$19</c:f>
              <c:numCache>
                <c:formatCode>0.0%;\ \(0.0%\)</c:formatCode>
                <c:ptCount val="4"/>
                <c:pt idx="0">
                  <c:v>0.75</c:v>
                </c:pt>
                <c:pt idx="1">
                  <c:v>0.76600000000000001</c:v>
                </c:pt>
                <c:pt idx="2">
                  <c:v>0.59399999999999997</c:v>
                </c:pt>
                <c:pt idx="3">
                  <c:v>0.60399999999999998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B-5048-B9DB-D30477D96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117952"/>
        <c:axId val="541126016"/>
      </c:barChart>
      <c:lineChart>
        <c:grouping val="standard"/>
        <c:varyColors val="0"/>
        <c:ser>
          <c:idx val="1"/>
          <c:order val="1"/>
          <c:tx>
            <c:strRef>
              <c:f>'Ratio Analysis'!$A$20</c:f>
              <c:strCache>
                <c:ptCount val="1"/>
                <c:pt idx="0">
                  <c:v>Times Interest Earned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Analysis'!$C$18:$F$18</c:f>
              <c:strCache>
                <c:ptCount val="4"/>
                <c:pt idx="0">
                  <c:v>GM 2023</c:v>
                </c:pt>
                <c:pt idx="1">
                  <c:v>GM 2024</c:v>
                </c:pt>
                <c:pt idx="2">
                  <c:v>STELLANTIS 2023</c:v>
                </c:pt>
                <c:pt idx="3">
                  <c:v>STELLANTIS 2024</c:v>
                </c:pt>
              </c:strCache>
            </c:strRef>
          </c:cat>
          <c:val>
            <c:numRef>
              <c:f>'Ratio Analysis'!$C$20:$F$20</c:f>
              <c:numCache>
                <c:formatCode>0.0_);\(0.0\)</c:formatCode>
                <c:ptCount val="4"/>
                <c:pt idx="0">
                  <c:v>10.199999999999999</c:v>
                </c:pt>
                <c:pt idx="1">
                  <c:v>15.1</c:v>
                </c:pt>
                <c:pt idx="2">
                  <c:v>533.70000000000005</c:v>
                </c:pt>
                <c:pt idx="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9B-5048-B9DB-D30477D96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562240"/>
        <c:axId val="541126464"/>
      </c:lineChart>
      <c:catAx>
        <c:axId val="54111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541126016"/>
        <c:auto val="1"/>
        <c:lblAlgn val="ctr"/>
        <c:lblOffset val="100"/>
        <c:noMultiLvlLbl val="0"/>
      </c:catAx>
      <c:valAx>
        <c:axId val="54112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 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541117952"/>
        <c:crossBetween val="between"/>
      </c:valAx>
      <c:valAx>
        <c:axId val="541126464"/>
        <c:scaling>
          <c:orientation val="minMax"/>
          <c:max val="550"/>
          <c:min val="0"/>
        </c:scaling>
        <c:delete val="0"/>
        <c:axPos val="r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0.0_);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64562240"/>
        <c:crosses val="max"/>
        <c:crossBetween val="between"/>
        <c:majorUnit val="50"/>
        <c:minorUnit val="5"/>
      </c:valAx>
      <c:catAx>
        <c:axId val="464562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411264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Analysis - GM vs Stellantis (2023-2024)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Analysis'!$A$26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Analysis'!$C$25:$F$25</c:f>
              <c:strCache>
                <c:ptCount val="4"/>
                <c:pt idx="0">
                  <c:v>GM 2023</c:v>
                </c:pt>
                <c:pt idx="1">
                  <c:v>GM 2024</c:v>
                </c:pt>
                <c:pt idx="2">
                  <c:v>STELLANTIS 2023</c:v>
                </c:pt>
                <c:pt idx="3">
                  <c:v>STELLANTIS 2024</c:v>
                </c:pt>
              </c:strCache>
            </c:strRef>
          </c:cat>
          <c:val>
            <c:numRef>
              <c:f>'Ratio Analysis'!$C$26:$F$26</c:f>
              <c:numCache>
                <c:formatCode>0.0%;\ \(0.0%\)</c:formatCode>
                <c:ptCount val="4"/>
                <c:pt idx="0">
                  <c:v>3.6999999999999998E-2</c:v>
                </c:pt>
                <c:pt idx="1">
                  <c:v>2.5999999999999999E-2</c:v>
                </c:pt>
                <c:pt idx="2">
                  <c:v>9.1999999999999998E-2</c:v>
                </c:pt>
                <c:pt idx="3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9-CA47-8BD9-9A49CAFAE340}"/>
            </c:ext>
          </c:extLst>
        </c:ser>
        <c:ser>
          <c:idx val="1"/>
          <c:order val="1"/>
          <c:tx>
            <c:strRef>
              <c:f>'Ratio Analysis'!$A$27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Analysis'!$C$25:$F$25</c:f>
              <c:strCache>
                <c:ptCount val="4"/>
                <c:pt idx="0">
                  <c:v>GM 2023</c:v>
                </c:pt>
                <c:pt idx="1">
                  <c:v>GM 2024</c:v>
                </c:pt>
                <c:pt idx="2">
                  <c:v>STELLANTIS 2023</c:v>
                </c:pt>
                <c:pt idx="3">
                  <c:v>STELLANTIS 2024</c:v>
                </c:pt>
              </c:strCache>
            </c:strRef>
          </c:cat>
          <c:val>
            <c:numRef>
              <c:f>'Ratio Analysis'!$C$27:$F$27</c:f>
              <c:numCache>
                <c:formatCode>0.0%;\ \(0.0%\)</c:formatCode>
                <c:ptCount val="4"/>
                <c:pt idx="0">
                  <c:v>0.14699999999999999</c:v>
                </c:pt>
                <c:pt idx="1">
                  <c:v>0.11</c:v>
                </c:pt>
                <c:pt idx="2">
                  <c:v>0.22600000000000001</c:v>
                </c:pt>
                <c:pt idx="3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9-CA47-8BD9-9A49CAFAE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102016"/>
        <c:axId val="464881408"/>
      </c:barChart>
      <c:lineChart>
        <c:grouping val="standard"/>
        <c:varyColors val="0"/>
        <c:ser>
          <c:idx val="2"/>
          <c:order val="2"/>
          <c:tx>
            <c:strRef>
              <c:f>'Ratio Analysis'!$A$28</c:f>
              <c:strCache>
                <c:ptCount val="1"/>
                <c:pt idx="0">
                  <c:v>EPS (US$)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Analysis'!$C$25:$F$25</c:f>
              <c:strCache>
                <c:ptCount val="4"/>
                <c:pt idx="0">
                  <c:v>GM 2023</c:v>
                </c:pt>
                <c:pt idx="1">
                  <c:v>GM 2024</c:v>
                </c:pt>
                <c:pt idx="2">
                  <c:v>STELLANTIS 2023</c:v>
                </c:pt>
                <c:pt idx="3">
                  <c:v>STELLANTIS 2024</c:v>
                </c:pt>
              </c:strCache>
            </c:strRef>
          </c:cat>
          <c:val>
            <c:numRef>
              <c:f>'Ratio Analysis'!$C$28:$F$28</c:f>
              <c:numCache>
                <c:formatCode>General</c:formatCode>
                <c:ptCount val="4"/>
                <c:pt idx="0">
                  <c:v>7.35</c:v>
                </c:pt>
                <c:pt idx="1">
                  <c:v>6.45</c:v>
                </c:pt>
                <c:pt idx="2">
                  <c:v>6.46</c:v>
                </c:pt>
                <c:pt idx="3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39-CA47-8BD9-9A49CAFAE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021056"/>
        <c:axId val="468149888"/>
      </c:lineChart>
      <c:catAx>
        <c:axId val="49510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64881408"/>
        <c:auto val="1"/>
        <c:lblAlgn val="ctr"/>
        <c:lblOffset val="100"/>
        <c:noMultiLvlLbl val="0"/>
      </c:catAx>
      <c:valAx>
        <c:axId val="46488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 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95102016"/>
        <c:crossBetween val="between"/>
      </c:valAx>
      <c:valAx>
        <c:axId val="4681498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91021056"/>
        <c:crosses val="max"/>
        <c:crossBetween val="between"/>
      </c:valAx>
      <c:catAx>
        <c:axId val="491021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814988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0</xdr:row>
      <xdr:rowOff>292100</xdr:rowOff>
    </xdr:from>
    <xdr:to>
      <xdr:col>12</xdr:col>
      <xdr:colOff>190500</xdr:colOff>
      <xdr:row>14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13D352-D00C-80CF-7392-D9EED0469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647700</xdr:colOff>
      <xdr:row>14</xdr:row>
      <xdr:rowOff>139700</xdr:rowOff>
    </xdr:from>
    <xdr:to>
      <xdr:col>12</xdr:col>
      <xdr:colOff>165100</xdr:colOff>
      <xdr:row>32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1219A7-A3BE-8603-BAC1-3FB1D5BEE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946150</xdr:colOff>
      <xdr:row>0</xdr:row>
      <xdr:rowOff>273050</xdr:rowOff>
    </xdr:from>
    <xdr:to>
      <xdr:col>12</xdr:col>
      <xdr:colOff>736600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52283A-18BA-39DA-B3CC-4FCBE4D98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209550</xdr:colOff>
      <xdr:row>15</xdr:row>
      <xdr:rowOff>107950</xdr:rowOff>
    </xdr:from>
    <xdr:to>
      <xdr:col>8</xdr:col>
      <xdr:colOff>19050</xdr:colOff>
      <xdr:row>28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9311A0-E4D5-ABED-291F-98AD7D3CB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146050</xdr:colOff>
      <xdr:row>15</xdr:row>
      <xdr:rowOff>95250</xdr:rowOff>
    </xdr:from>
    <xdr:to>
      <xdr:col>12</xdr:col>
      <xdr:colOff>908050</xdr:colOff>
      <xdr:row>28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15DC32-DA1C-AB2F-8311-9A2E4987F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20</xdr:row>
      <xdr:rowOff>82550</xdr:rowOff>
    </xdr:from>
    <xdr:to>
      <xdr:col>4</xdr:col>
      <xdr:colOff>654050</xdr:colOff>
      <xdr:row>33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CB8CC-46CF-3DE8-2D34-371C06993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514350</xdr:colOff>
      <xdr:row>35</xdr:row>
      <xdr:rowOff>19050</xdr:rowOff>
    </xdr:from>
    <xdr:to>
      <xdr:col>4</xdr:col>
      <xdr:colOff>692150</xdr:colOff>
      <xdr:row>48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DE0F02-CCDE-07C1-5047-2FB5197F4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565150</xdr:colOff>
      <xdr:row>49</xdr:row>
      <xdr:rowOff>133350</xdr:rowOff>
    </xdr:from>
    <xdr:to>
      <xdr:col>4</xdr:col>
      <xdr:colOff>742950</xdr:colOff>
      <xdr:row>63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710AEB-CD1B-1774-6922-CF5BE1528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82550</xdr:colOff>
      <xdr:row>20</xdr:row>
      <xdr:rowOff>82550</xdr:rowOff>
    </xdr:from>
    <xdr:to>
      <xdr:col>14</xdr:col>
      <xdr:colOff>241300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C776ED-56DC-2A26-ACED-1A14D09E5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95250</xdr:colOff>
      <xdr:row>35</xdr:row>
      <xdr:rowOff>120650</xdr:rowOff>
    </xdr:from>
    <xdr:to>
      <xdr:col>14</xdr:col>
      <xdr:colOff>304800</xdr:colOff>
      <xdr:row>48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94CAC2-682E-D20F-7701-62D5DAF5C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25400</xdr:colOff>
      <xdr:row>49</xdr:row>
      <xdr:rowOff>44450</xdr:rowOff>
    </xdr:from>
    <xdr:to>
      <xdr:col>14</xdr:col>
      <xdr:colOff>266700</xdr:colOff>
      <xdr:row>62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8EC949-89B9-CC72-1345-236E26DDD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35</xdr:row>
      <xdr:rowOff>57150</xdr:rowOff>
    </xdr:from>
    <xdr:to>
      <xdr:col>3</xdr:col>
      <xdr:colOff>25400</xdr:colOff>
      <xdr:row>52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B774F5-2A4B-0F8F-8269-6B33A6015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501650</xdr:colOff>
      <xdr:row>35</xdr:row>
      <xdr:rowOff>19050</xdr:rowOff>
    </xdr:from>
    <xdr:to>
      <xdr:col>7</xdr:col>
      <xdr:colOff>762000</xdr:colOff>
      <xdr:row>52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0FE169-AABC-4AEF-2DE5-2986E3366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323850</xdr:colOff>
      <xdr:row>54</xdr:row>
      <xdr:rowOff>184150</xdr:rowOff>
    </xdr:from>
    <xdr:to>
      <xdr:col>2</xdr:col>
      <xdr:colOff>1346200</xdr:colOff>
      <xdr:row>72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4C17AC-7173-C55E-8A39-3DC1758DD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590550</xdr:colOff>
      <xdr:row>55</xdr:row>
      <xdr:rowOff>19050</xdr:rowOff>
    </xdr:from>
    <xdr:to>
      <xdr:col>7</xdr:col>
      <xdr:colOff>508000</xdr:colOff>
      <xdr:row>72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E14225-0B80-347D-6094-5118C5320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5EA4-DCFA-CE42-B2BA-BFF814AD5D99}">
  <dimension ref="A1:E24"/>
  <sheetViews>
    <sheetView zoomScaleNormal="100" workbookViewId="0">
      <selection activeCell="B32" sqref="B32"/>
    </sheetView>
  </sheetViews>
  <sheetFormatPr baseColWidth="10" defaultRowHeight="16" x14ac:dyDescent="0.2"/>
  <cols>
    <col min="1" max="1" width="42.7109375" customWidth="1"/>
    <col min="2" max="3" width="20.7109375" customWidth="1"/>
    <col min="4" max="4" width="20.7109375" style="1" customWidth="1"/>
    <col min="5" max="5" width="20.7109375" style="2" customWidth="1"/>
  </cols>
  <sheetData>
    <row r="1" spans="1:5" ht="33" customHeight="1" x14ac:dyDescent="0.2">
      <c r="A1" s="17" t="s">
        <v>14</v>
      </c>
      <c r="B1" s="18"/>
      <c r="C1" s="18"/>
      <c r="D1" s="18"/>
      <c r="E1" s="18"/>
    </row>
    <row r="2" spans="1:5" x14ac:dyDescent="0.2">
      <c r="A2" s="3" t="s">
        <v>0</v>
      </c>
      <c r="B2" s="3" t="s">
        <v>10</v>
      </c>
      <c r="C2" s="3" t="s">
        <v>11</v>
      </c>
      <c r="D2" s="4" t="s">
        <v>12</v>
      </c>
      <c r="E2" s="5" t="s">
        <v>13</v>
      </c>
    </row>
    <row r="3" spans="1:5" x14ac:dyDescent="0.2">
      <c r="A3" s="6" t="s">
        <v>1</v>
      </c>
      <c r="B3" s="7">
        <v>187442</v>
      </c>
      <c r="C3" s="7">
        <v>171842</v>
      </c>
      <c r="D3" s="8">
        <f>B3-C3</f>
        <v>15600</v>
      </c>
      <c r="E3" s="9">
        <f>D3/C3</f>
        <v>9.0781066328371407E-2</v>
      </c>
    </row>
    <row r="4" spans="1:5" x14ac:dyDescent="0.2">
      <c r="A4" s="6" t="s">
        <v>2</v>
      </c>
      <c r="B4" s="7">
        <v>151065</v>
      </c>
      <c r="C4" s="7">
        <v>141330</v>
      </c>
      <c r="D4" s="8">
        <f t="shared" ref="D4:D11" si="0">B4-C4</f>
        <v>9735</v>
      </c>
      <c r="E4" s="9">
        <f t="shared" ref="E4:E11" si="1">D4/C4</f>
        <v>6.8881341541074087E-2</v>
      </c>
    </row>
    <row r="5" spans="1:5" x14ac:dyDescent="0.2">
      <c r="A5" s="6" t="s">
        <v>3</v>
      </c>
      <c r="B5" s="7">
        <v>12972</v>
      </c>
      <c r="C5" s="7">
        <v>11374</v>
      </c>
      <c r="D5" s="8">
        <f t="shared" si="0"/>
        <v>1598</v>
      </c>
      <c r="E5" s="9">
        <f t="shared" si="1"/>
        <v>0.14049586776859505</v>
      </c>
    </row>
    <row r="6" spans="1:5" x14ac:dyDescent="0.2">
      <c r="A6" s="6" t="s">
        <v>4</v>
      </c>
      <c r="B6" s="7">
        <v>10621</v>
      </c>
      <c r="C6" s="7">
        <v>9840</v>
      </c>
      <c r="D6" s="8">
        <f t="shared" si="0"/>
        <v>781</v>
      </c>
      <c r="E6" s="9">
        <f t="shared" si="1"/>
        <v>7.9369918699186998E-2</v>
      </c>
    </row>
    <row r="7" spans="1:5" x14ac:dyDescent="0.2">
      <c r="A7" s="6" t="s">
        <v>5</v>
      </c>
      <c r="B7" s="7">
        <v>174658</v>
      </c>
      <c r="C7" s="7">
        <v>162544</v>
      </c>
      <c r="D7" s="8">
        <f t="shared" si="0"/>
        <v>12114</v>
      </c>
      <c r="E7" s="9">
        <f t="shared" si="1"/>
        <v>7.4527512550447872E-2</v>
      </c>
    </row>
    <row r="8" spans="1:5" x14ac:dyDescent="0.2">
      <c r="A8" s="6" t="s">
        <v>6</v>
      </c>
      <c r="B8" s="7">
        <v>12784</v>
      </c>
      <c r="C8" s="7">
        <v>9298</v>
      </c>
      <c r="D8" s="8">
        <f t="shared" si="0"/>
        <v>3486</v>
      </c>
      <c r="E8" s="9">
        <f t="shared" si="1"/>
        <v>0.37491933749193374</v>
      </c>
    </row>
    <row r="9" spans="1:5" x14ac:dyDescent="0.2">
      <c r="A9" s="6" t="s">
        <v>7</v>
      </c>
      <c r="B9" s="7">
        <v>8519</v>
      </c>
      <c r="C9" s="7">
        <v>10403</v>
      </c>
      <c r="D9" s="8">
        <f t="shared" si="0"/>
        <v>-1884</v>
      </c>
      <c r="E9" s="9">
        <f t="shared" si="1"/>
        <v>-0.18110160530616168</v>
      </c>
    </row>
    <row r="10" spans="1:5" x14ac:dyDescent="0.2">
      <c r="A10" s="6" t="s">
        <v>8</v>
      </c>
      <c r="B10" s="7">
        <v>2556</v>
      </c>
      <c r="C10" s="6">
        <v>563</v>
      </c>
      <c r="D10" s="8">
        <f t="shared" si="0"/>
        <v>1993</v>
      </c>
      <c r="E10" s="9">
        <f t="shared" si="1"/>
        <v>3.5399644760213143</v>
      </c>
    </row>
    <row r="11" spans="1:5" x14ac:dyDescent="0.2">
      <c r="A11" s="6" t="s">
        <v>9</v>
      </c>
      <c r="B11" s="7">
        <v>7189</v>
      </c>
      <c r="C11" s="7">
        <v>10022</v>
      </c>
      <c r="D11" s="8">
        <f t="shared" si="0"/>
        <v>-2833</v>
      </c>
      <c r="E11" s="9">
        <f t="shared" si="1"/>
        <v>-0.28267810816204353</v>
      </c>
    </row>
    <row r="12" spans="1:5" x14ac:dyDescent="0.2">
      <c r="A12" s="6"/>
      <c r="B12" s="6"/>
      <c r="C12" s="6"/>
      <c r="D12" s="8"/>
      <c r="E12" s="9"/>
    </row>
    <row r="13" spans="1:5" x14ac:dyDescent="0.2">
      <c r="A13" s="6"/>
      <c r="B13" s="6"/>
      <c r="C13" s="6"/>
      <c r="D13" s="8"/>
      <c r="E13" s="9"/>
    </row>
    <row r="14" spans="1:5" x14ac:dyDescent="0.2">
      <c r="A14" s="6"/>
      <c r="B14" s="6"/>
      <c r="C14" s="6"/>
      <c r="D14" s="8"/>
      <c r="E14" s="9"/>
    </row>
    <row r="15" spans="1:5" ht="30" x14ac:dyDescent="0.2">
      <c r="A15" s="17" t="s">
        <v>15</v>
      </c>
      <c r="B15" s="17"/>
      <c r="C15" s="17"/>
      <c r="D15" s="17"/>
      <c r="E15" s="17"/>
    </row>
    <row r="16" spans="1:5" x14ac:dyDescent="0.2">
      <c r="A16" s="3" t="s">
        <v>0</v>
      </c>
      <c r="B16" s="3" t="s">
        <v>10</v>
      </c>
      <c r="C16" s="3" t="s">
        <v>11</v>
      </c>
      <c r="D16" s="4" t="s">
        <v>12</v>
      </c>
      <c r="E16" s="5" t="s">
        <v>13</v>
      </c>
    </row>
    <row r="17" spans="1:5" x14ac:dyDescent="0.2">
      <c r="A17" s="6" t="s">
        <v>19</v>
      </c>
      <c r="B17" s="7">
        <v>108545</v>
      </c>
      <c r="C17" s="7">
        <v>101618</v>
      </c>
      <c r="D17" s="8">
        <f>B17-C17</f>
        <v>6927</v>
      </c>
      <c r="E17" s="9">
        <f>D17/C17</f>
        <v>6.8167057017457539E-2</v>
      </c>
    </row>
    <row r="18" spans="1:5" x14ac:dyDescent="0.2">
      <c r="A18" s="6" t="s">
        <v>20</v>
      </c>
      <c r="B18" s="7">
        <v>171216</v>
      </c>
      <c r="C18" s="7">
        <v>171446</v>
      </c>
      <c r="D18" s="8">
        <f t="shared" ref="D18:D24" si="2">B18-C18</f>
        <v>-230</v>
      </c>
      <c r="E18" s="9">
        <f t="shared" ref="E18:E24" si="3">D18/C18</f>
        <v>-1.3415302777550948E-3</v>
      </c>
    </row>
    <row r="19" spans="1:5" x14ac:dyDescent="0.2">
      <c r="A19" s="6" t="s">
        <v>18</v>
      </c>
      <c r="B19" s="7">
        <v>279761</v>
      </c>
      <c r="C19" s="7">
        <v>273064</v>
      </c>
      <c r="D19" s="8">
        <f t="shared" si="2"/>
        <v>6697</v>
      </c>
      <c r="E19" s="9">
        <f t="shared" si="3"/>
        <v>2.452538599009756E-2</v>
      </c>
    </row>
    <row r="20" spans="1:5" x14ac:dyDescent="0.2">
      <c r="A20" s="6" t="s">
        <v>21</v>
      </c>
      <c r="B20" s="7">
        <v>96265</v>
      </c>
      <c r="C20" s="7">
        <v>94445</v>
      </c>
      <c r="D20" s="8">
        <f t="shared" si="2"/>
        <v>1820</v>
      </c>
      <c r="E20" s="9">
        <f t="shared" si="3"/>
        <v>1.9270474879559532E-2</v>
      </c>
    </row>
    <row r="21" spans="1:5" x14ac:dyDescent="0.2">
      <c r="A21" s="6" t="s">
        <v>22</v>
      </c>
      <c r="B21" s="7">
        <v>117906</v>
      </c>
      <c r="C21" s="7">
        <v>110312</v>
      </c>
      <c r="D21" s="8">
        <f t="shared" si="2"/>
        <v>7594</v>
      </c>
      <c r="E21" s="9">
        <f t="shared" si="3"/>
        <v>6.8841105228805571E-2</v>
      </c>
    </row>
    <row r="22" spans="1:5" x14ac:dyDescent="0.2">
      <c r="A22" s="6" t="s">
        <v>17</v>
      </c>
      <c r="B22" s="7">
        <v>214171</v>
      </c>
      <c r="C22" s="7">
        <v>204757</v>
      </c>
      <c r="D22" s="8">
        <f t="shared" si="2"/>
        <v>9414</v>
      </c>
      <c r="E22" s="9">
        <f t="shared" si="3"/>
        <v>4.5976450133572967E-2</v>
      </c>
    </row>
    <row r="23" spans="1:5" x14ac:dyDescent="0.2">
      <c r="A23" s="6" t="s">
        <v>23</v>
      </c>
      <c r="B23" s="7">
        <v>63072</v>
      </c>
      <c r="C23" s="7">
        <v>64286</v>
      </c>
      <c r="D23" s="8">
        <f t="shared" si="2"/>
        <v>-1214</v>
      </c>
      <c r="E23" s="9">
        <f t="shared" si="3"/>
        <v>-1.8884360513953272E-2</v>
      </c>
    </row>
    <row r="24" spans="1:5" x14ac:dyDescent="0.2">
      <c r="A24" s="6" t="s">
        <v>16</v>
      </c>
      <c r="B24" s="7">
        <v>279761</v>
      </c>
      <c r="C24" s="7">
        <v>273064</v>
      </c>
      <c r="D24" s="8">
        <f t="shared" si="2"/>
        <v>6697</v>
      </c>
      <c r="E24" s="9">
        <f t="shared" si="3"/>
        <v>2.452538599009756E-2</v>
      </c>
    </row>
  </sheetData>
  <mergeCells count="2">
    <mergeCell ref="A1:E1"/>
    <mergeCell ref="A15:E15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CD48-C2F6-EC4B-B2BA-12C86E42481D}">
  <dimension ref="A1:C28"/>
  <sheetViews>
    <sheetView workbookViewId="0">
      <selection activeCell="C32" sqref="C32"/>
    </sheetView>
  </sheetViews>
  <sheetFormatPr baseColWidth="10" defaultRowHeight="16" x14ac:dyDescent="0.2"/>
  <cols>
    <col min="1" max="1" width="41.28515625" customWidth="1"/>
    <col min="2" max="2" width="19.140625" customWidth="1"/>
    <col min="3" max="3" width="32.7109375" style="2" customWidth="1"/>
  </cols>
  <sheetData>
    <row r="1" spans="1:3" ht="30" x14ac:dyDescent="0.3">
      <c r="A1" s="19" t="s">
        <v>14</v>
      </c>
      <c r="B1" s="19"/>
      <c r="C1" s="19"/>
    </row>
    <row r="2" spans="1:3" x14ac:dyDescent="0.2">
      <c r="A2" s="3" t="s">
        <v>0</v>
      </c>
      <c r="B2" s="3" t="s">
        <v>11</v>
      </c>
      <c r="C2" s="5" t="s">
        <v>24</v>
      </c>
    </row>
    <row r="3" spans="1:3" x14ac:dyDescent="0.2">
      <c r="A3" s="6" t="s">
        <v>1</v>
      </c>
      <c r="B3" s="7">
        <v>171842</v>
      </c>
      <c r="C3" s="2">
        <f>B3/$B$3</f>
        <v>1</v>
      </c>
    </row>
    <row r="4" spans="1:3" x14ac:dyDescent="0.2">
      <c r="A4" s="6" t="s">
        <v>2</v>
      </c>
      <c r="B4" s="7">
        <v>141330</v>
      </c>
      <c r="C4" s="2">
        <f t="shared" ref="C4:C11" si="0">B4/$B$3</f>
        <v>0.82244154514030332</v>
      </c>
    </row>
    <row r="5" spans="1:3" x14ac:dyDescent="0.2">
      <c r="A5" s="6" t="s">
        <v>3</v>
      </c>
      <c r="B5" s="7">
        <v>11374</v>
      </c>
      <c r="C5" s="2">
        <f t="shared" si="0"/>
        <v>6.6188708231980545E-2</v>
      </c>
    </row>
    <row r="6" spans="1:3" x14ac:dyDescent="0.2">
      <c r="A6" s="6" t="s">
        <v>4</v>
      </c>
      <c r="B6" s="7">
        <v>9840</v>
      </c>
      <c r="C6" s="2">
        <f t="shared" si="0"/>
        <v>5.7261903376357351E-2</v>
      </c>
    </row>
    <row r="7" spans="1:3" x14ac:dyDescent="0.2">
      <c r="A7" s="6" t="s">
        <v>5</v>
      </c>
      <c r="B7" s="7">
        <v>162544</v>
      </c>
      <c r="C7" s="2">
        <f t="shared" si="0"/>
        <v>0.94589215674864124</v>
      </c>
    </row>
    <row r="8" spans="1:3" x14ac:dyDescent="0.2">
      <c r="A8" s="6" t="s">
        <v>6</v>
      </c>
      <c r="B8" s="7">
        <v>9298</v>
      </c>
      <c r="C8" s="2">
        <f t="shared" si="0"/>
        <v>5.4107843251358805E-2</v>
      </c>
    </row>
    <row r="9" spans="1:3" x14ac:dyDescent="0.2">
      <c r="A9" s="6" t="s">
        <v>7</v>
      </c>
      <c r="B9" s="7">
        <v>10403</v>
      </c>
      <c r="C9" s="2">
        <f t="shared" si="0"/>
        <v>6.0538168782951783E-2</v>
      </c>
    </row>
    <row r="10" spans="1:3" x14ac:dyDescent="0.2">
      <c r="A10" s="6" t="s">
        <v>8</v>
      </c>
      <c r="B10" s="6">
        <v>563</v>
      </c>
      <c r="C10" s="2">
        <f t="shared" si="0"/>
        <v>3.2762654065944296E-3</v>
      </c>
    </row>
    <row r="11" spans="1:3" x14ac:dyDescent="0.2">
      <c r="A11" s="6" t="s">
        <v>9</v>
      </c>
      <c r="B11" s="7">
        <v>10022</v>
      </c>
      <c r="C11" s="2">
        <f t="shared" si="0"/>
        <v>5.8321015816855018E-2</v>
      </c>
    </row>
    <row r="15" spans="1:3" ht="30" x14ac:dyDescent="0.3">
      <c r="A15" s="19" t="s">
        <v>15</v>
      </c>
      <c r="B15" s="19"/>
      <c r="C15" s="19"/>
    </row>
    <row r="16" spans="1:3" ht="20" x14ac:dyDescent="0.2">
      <c r="A16" s="20" t="s">
        <v>25</v>
      </c>
      <c r="B16" s="20"/>
      <c r="C16" s="20"/>
    </row>
    <row r="17" spans="1:3" x14ac:dyDescent="0.2">
      <c r="A17" s="3" t="s">
        <v>0</v>
      </c>
      <c r="B17" s="3" t="s">
        <v>11</v>
      </c>
      <c r="C17" s="5" t="s">
        <v>27</v>
      </c>
    </row>
    <row r="18" spans="1:3" x14ac:dyDescent="0.2">
      <c r="A18" s="10" t="s">
        <v>19</v>
      </c>
      <c r="B18" s="11">
        <v>101618</v>
      </c>
      <c r="C18" s="2">
        <f>B18/$B$20</f>
        <v>0.37213986464711568</v>
      </c>
    </row>
    <row r="19" spans="1:3" x14ac:dyDescent="0.2">
      <c r="A19" s="10" t="s">
        <v>20</v>
      </c>
      <c r="B19" s="11">
        <v>171446</v>
      </c>
      <c r="C19" s="2">
        <f>B19/$B$20</f>
        <v>0.62786013535288432</v>
      </c>
    </row>
    <row r="20" spans="1:3" x14ac:dyDescent="0.2">
      <c r="A20" s="10" t="s">
        <v>18</v>
      </c>
      <c r="B20" s="11">
        <v>273064</v>
      </c>
      <c r="C20" s="2">
        <f>B20/$B$20</f>
        <v>1</v>
      </c>
    </row>
    <row r="22" spans="1:3" ht="20" x14ac:dyDescent="0.2">
      <c r="A22" s="20" t="s">
        <v>26</v>
      </c>
      <c r="B22" s="20"/>
      <c r="C22" s="20"/>
    </row>
    <row r="23" spans="1:3" x14ac:dyDescent="0.2">
      <c r="A23" s="12" t="s">
        <v>0</v>
      </c>
      <c r="B23" s="12" t="s">
        <v>11</v>
      </c>
      <c r="C23" s="13" t="s">
        <v>28</v>
      </c>
    </row>
    <row r="24" spans="1:3" x14ac:dyDescent="0.2">
      <c r="A24" s="10" t="s">
        <v>21</v>
      </c>
      <c r="B24" s="11">
        <v>94445</v>
      </c>
      <c r="C24" s="2">
        <f>B24/$B$28</f>
        <v>0.34587129757126533</v>
      </c>
    </row>
    <row r="25" spans="1:3" x14ac:dyDescent="0.2">
      <c r="A25" s="10" t="s">
        <v>22</v>
      </c>
      <c r="B25" s="11">
        <v>110312</v>
      </c>
      <c r="C25" s="2">
        <f t="shared" ref="C25:C27" si="1">B25/$B$28</f>
        <v>0.40397855447807107</v>
      </c>
    </row>
    <row r="26" spans="1:3" x14ac:dyDescent="0.2">
      <c r="A26" s="10" t="s">
        <v>17</v>
      </c>
      <c r="B26" s="11">
        <v>204757</v>
      </c>
      <c r="C26" s="2">
        <f t="shared" si="1"/>
        <v>0.74984985204933641</v>
      </c>
    </row>
    <row r="27" spans="1:3" x14ac:dyDescent="0.2">
      <c r="A27" s="10" t="s">
        <v>23</v>
      </c>
      <c r="B27" s="11">
        <v>64286</v>
      </c>
      <c r="C27" s="2">
        <f t="shared" si="1"/>
        <v>0.23542466235021825</v>
      </c>
    </row>
    <row r="28" spans="1:3" x14ac:dyDescent="0.2">
      <c r="A28" s="10" t="s">
        <v>16</v>
      </c>
      <c r="B28" s="11">
        <v>273064</v>
      </c>
      <c r="C28" s="2">
        <f>1</f>
        <v>1</v>
      </c>
    </row>
  </sheetData>
  <mergeCells count="4">
    <mergeCell ref="A1:C1"/>
    <mergeCell ref="A15:C15"/>
    <mergeCell ref="A16:C16"/>
    <mergeCell ref="A22:C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129C-83E6-8348-93C7-9D524D3B3477}">
  <dimension ref="A1:V20"/>
  <sheetViews>
    <sheetView workbookViewId="0">
      <selection activeCell="N11" sqref="N11"/>
    </sheetView>
  </sheetViews>
  <sheetFormatPr baseColWidth="10" defaultRowHeight="16" x14ac:dyDescent="0.2"/>
  <cols>
    <col min="1" max="1" width="23" style="1" customWidth="1"/>
    <col min="2" max="9" width="10.7109375" style="1"/>
    <col min="10" max="10" width="18" style="1" customWidth="1"/>
    <col min="11" max="11" width="11" style="1" bestFit="1" customWidth="1"/>
    <col min="12" max="15" width="10.7109375" style="1"/>
    <col min="16" max="16" width="11.140625" style="1" customWidth="1"/>
    <col min="17" max="17" width="17.85546875" style="1" customWidth="1"/>
    <col min="18" max="16384" width="10.7109375" style="1"/>
  </cols>
  <sheetData>
    <row r="1" spans="1:22" ht="30" x14ac:dyDescent="0.3">
      <c r="A1" s="21" t="s">
        <v>45</v>
      </c>
      <c r="B1" s="19"/>
      <c r="C1" s="19"/>
      <c r="D1" s="19"/>
      <c r="E1" s="19"/>
      <c r="F1" s="19"/>
      <c r="J1" s="21" t="s">
        <v>46</v>
      </c>
      <c r="K1" s="22"/>
      <c r="L1" s="22"/>
      <c r="M1" s="22"/>
      <c r="N1" s="22"/>
      <c r="O1" s="22"/>
      <c r="Q1" s="21" t="s">
        <v>47</v>
      </c>
      <c r="R1" s="23"/>
      <c r="S1" s="23"/>
      <c r="T1" s="23"/>
      <c r="U1" s="23"/>
      <c r="V1" s="23"/>
    </row>
    <row r="2" spans="1:22" customFormat="1" x14ac:dyDescent="0.2">
      <c r="A2" s="3" t="s">
        <v>29</v>
      </c>
      <c r="B2" s="3">
        <v>2020</v>
      </c>
      <c r="C2" s="3">
        <v>2021</v>
      </c>
      <c r="D2" s="3">
        <v>2022</v>
      </c>
      <c r="E2" s="3">
        <v>2023</v>
      </c>
      <c r="F2" s="3">
        <v>2024</v>
      </c>
      <c r="J2" s="3" t="s">
        <v>29</v>
      </c>
      <c r="K2" s="3">
        <v>2020</v>
      </c>
      <c r="L2" s="3">
        <v>2021</v>
      </c>
      <c r="M2" s="3">
        <v>2022</v>
      </c>
      <c r="N2" s="3">
        <v>2023</v>
      </c>
      <c r="O2" s="3">
        <v>2024</v>
      </c>
      <c r="Q2" s="3" t="s">
        <v>29</v>
      </c>
      <c r="R2" s="3">
        <v>2020</v>
      </c>
      <c r="S2" s="3">
        <v>2021</v>
      </c>
      <c r="T2" s="3">
        <v>2022</v>
      </c>
      <c r="U2" s="3">
        <v>2023</v>
      </c>
      <c r="V2" s="3">
        <v>2024</v>
      </c>
    </row>
    <row r="3" spans="1:22" x14ac:dyDescent="0.2">
      <c r="A3" s="1" t="s">
        <v>18</v>
      </c>
      <c r="B3" s="1">
        <v>235194</v>
      </c>
      <c r="C3" s="1">
        <v>244718</v>
      </c>
      <c r="D3" s="1">
        <v>264037</v>
      </c>
      <c r="E3" s="1">
        <v>273064</v>
      </c>
      <c r="F3" s="14">
        <v>279761</v>
      </c>
      <c r="J3" s="1" t="s">
        <v>18</v>
      </c>
      <c r="K3" s="1">
        <f>R3 * $K$20</f>
        <v>85824.9</v>
      </c>
      <c r="L3" s="1">
        <f>S3 * $L$20</f>
        <v>202683.87999999998</v>
      </c>
      <c r="M3" s="1">
        <f>T3 * $M$20</f>
        <v>195463.80000000002</v>
      </c>
      <c r="N3" s="1">
        <f>U3 * $N$20</f>
        <v>218298.24000000002</v>
      </c>
      <c r="O3" s="1">
        <f>V3 * $O$20</f>
        <v>224215.56000000003</v>
      </c>
      <c r="Q3" s="1" t="s">
        <v>18</v>
      </c>
      <c r="R3" s="1">
        <v>75285</v>
      </c>
      <c r="S3" s="1">
        <v>171766</v>
      </c>
      <c r="T3" s="1">
        <v>186156</v>
      </c>
      <c r="U3" s="1">
        <v>202128</v>
      </c>
      <c r="V3" s="1">
        <v>207607</v>
      </c>
    </row>
    <row r="4" spans="1:22" x14ac:dyDescent="0.2">
      <c r="A4" s="1" t="s">
        <v>40</v>
      </c>
      <c r="B4" s="1">
        <v>45030</v>
      </c>
      <c r="C4" s="1">
        <v>59744</v>
      </c>
      <c r="D4" s="1">
        <v>67792</v>
      </c>
      <c r="E4" s="1">
        <v>64286</v>
      </c>
      <c r="F4" s="1">
        <v>63072</v>
      </c>
      <c r="J4" s="1" t="s">
        <v>40</v>
      </c>
      <c r="K4" s="1">
        <f>R4 * $K$20</f>
        <v>24274.019999999997</v>
      </c>
      <c r="L4" s="1">
        <f>S4 * $L$20</f>
        <v>65970.259999999995</v>
      </c>
      <c r="M4" s="1">
        <f>T4 * $M$20</f>
        <v>75598.95</v>
      </c>
      <c r="N4" s="1">
        <f>U4 * $N$20</f>
        <v>88228.44</v>
      </c>
      <c r="O4" s="1">
        <f>V4 * $O$20</f>
        <v>88227.36</v>
      </c>
      <c r="Q4" s="1" t="s">
        <v>40</v>
      </c>
      <c r="R4" s="1">
        <v>21293</v>
      </c>
      <c r="S4" s="1">
        <v>55907</v>
      </c>
      <c r="T4" s="1">
        <v>71999</v>
      </c>
      <c r="U4" s="1">
        <v>81693</v>
      </c>
      <c r="V4" s="1">
        <v>81692</v>
      </c>
    </row>
    <row r="5" spans="1:22" x14ac:dyDescent="0.2">
      <c r="A5" s="1" t="s">
        <v>17</v>
      </c>
      <c r="B5" s="1">
        <v>185517</v>
      </c>
      <c r="C5" s="1">
        <v>178903</v>
      </c>
      <c r="D5" s="1">
        <v>191752</v>
      </c>
      <c r="E5" s="1">
        <v>204757</v>
      </c>
      <c r="F5" s="1">
        <v>214171</v>
      </c>
      <c r="J5" s="1" t="s">
        <v>17</v>
      </c>
      <c r="K5" s="1">
        <f>R5 * $K$20</f>
        <v>58609.679999999993</v>
      </c>
      <c r="L5" s="1">
        <f>S5 * $L$20</f>
        <v>136241.62</v>
      </c>
      <c r="M5" s="1">
        <f>T5 * $M$20</f>
        <v>119462.70000000001</v>
      </c>
      <c r="N5" s="1">
        <f>U5 * $N$20</f>
        <v>129608.64000000001</v>
      </c>
      <c r="O5" s="1">
        <f>V5 * $O$20</f>
        <v>135531.36000000002</v>
      </c>
      <c r="Q5" s="1" t="s">
        <v>17</v>
      </c>
      <c r="R5" s="1">
        <v>51412</v>
      </c>
      <c r="S5" s="1">
        <v>115459</v>
      </c>
      <c r="T5" s="1">
        <v>113774</v>
      </c>
      <c r="U5" s="1">
        <v>120008</v>
      </c>
      <c r="V5" s="1">
        <v>125492</v>
      </c>
    </row>
    <row r="6" spans="1:22" s="2" customFormat="1" x14ac:dyDescent="0.2">
      <c r="A6" s="2" t="s">
        <v>30</v>
      </c>
      <c r="B6" s="2">
        <f>B14 / B3</f>
        <v>2.6561051727510054E-2</v>
      </c>
      <c r="C6" s="2">
        <f t="shared" ref="C6:F6" si="0">C14 / C3</f>
        <v>4.0197288307357859E-2</v>
      </c>
      <c r="D6" s="2">
        <f t="shared" si="0"/>
        <v>3.3764207289129933E-2</v>
      </c>
      <c r="E6" s="2">
        <f t="shared" si="0"/>
        <v>3.6702018574400141E-2</v>
      </c>
      <c r="F6" s="2">
        <f t="shared" si="0"/>
        <v>2.5696934168808375E-2</v>
      </c>
      <c r="J6" s="2" t="s">
        <v>30</v>
      </c>
      <c r="K6" s="2">
        <f t="shared" ref="K6:O7" si="1">R6</f>
        <v>2.8863651457793717E-2</v>
      </c>
      <c r="L6" s="2">
        <f t="shared" si="1"/>
        <v>8.267061001595194E-2</v>
      </c>
      <c r="M6" s="2">
        <f t="shared" si="1"/>
        <v>9.0241517866735427E-2</v>
      </c>
      <c r="N6" s="2">
        <f t="shared" si="1"/>
        <v>9.2001108208659865E-2</v>
      </c>
      <c r="O6" s="2">
        <f t="shared" si="1"/>
        <v>2.6362309556036165E-2</v>
      </c>
      <c r="Q6" s="2" t="s">
        <v>30</v>
      </c>
      <c r="R6" s="2">
        <f>R14/R3</f>
        <v>2.8863651457793717E-2</v>
      </c>
      <c r="S6" s="2">
        <f t="shared" ref="S6:V6" si="2">S14/S3</f>
        <v>8.267061001595194E-2</v>
      </c>
      <c r="T6" s="2">
        <f t="shared" si="2"/>
        <v>9.0241517866735427E-2</v>
      </c>
      <c r="U6" s="2">
        <f t="shared" si="2"/>
        <v>9.2001108208659865E-2</v>
      </c>
      <c r="V6" s="2">
        <f t="shared" si="2"/>
        <v>2.6362309556036165E-2</v>
      </c>
    </row>
    <row r="7" spans="1:22" s="2" customFormat="1" x14ac:dyDescent="0.2">
      <c r="A7" s="2" t="s">
        <v>31</v>
      </c>
      <c r="B7" s="2">
        <f>B14/B4</f>
        <v>0.13872973573173439</v>
      </c>
      <c r="C7" s="2">
        <f t="shared" ref="C7:F7" si="3">C14/C4</f>
        <v>0.16465251740760578</v>
      </c>
      <c r="D7" s="2">
        <f t="shared" si="3"/>
        <v>0.13150519235308</v>
      </c>
      <c r="E7" s="2">
        <f t="shared" si="3"/>
        <v>0.15589708490184487</v>
      </c>
      <c r="F7" s="2">
        <f t="shared" si="3"/>
        <v>0.11398084728564181</v>
      </c>
      <c r="J7" s="2" t="s">
        <v>31</v>
      </c>
      <c r="K7" s="2">
        <f t="shared" si="1"/>
        <v>0.10205231766308176</v>
      </c>
      <c r="L7" s="2">
        <f t="shared" si="1"/>
        <v>0.25399323877153129</v>
      </c>
      <c r="M7" s="2">
        <f t="shared" si="1"/>
        <v>0.23332268503729217</v>
      </c>
      <c r="N7" s="2">
        <f t="shared" si="1"/>
        <v>0.22763272250988456</v>
      </c>
      <c r="O7" s="2">
        <f t="shared" si="1"/>
        <v>6.6995544239337998E-2</v>
      </c>
      <c r="Q7" s="2" t="s">
        <v>31</v>
      </c>
      <c r="R7" s="2">
        <f>R14/R4</f>
        <v>0.10205231766308176</v>
      </c>
      <c r="S7" s="2">
        <f t="shared" ref="S7:V7" si="4">S14/S4</f>
        <v>0.25399323877153129</v>
      </c>
      <c r="T7" s="2">
        <f t="shared" si="4"/>
        <v>0.23332268503729217</v>
      </c>
      <c r="U7" s="2">
        <f t="shared" si="4"/>
        <v>0.22763272250988456</v>
      </c>
      <c r="V7" s="2">
        <f t="shared" si="4"/>
        <v>6.6995544239337998E-2</v>
      </c>
    </row>
    <row r="8" spans="1:22" x14ac:dyDescent="0.2">
      <c r="A8" s="1" t="s">
        <v>32</v>
      </c>
      <c r="B8" s="1">
        <v>16670</v>
      </c>
      <c r="C8" s="1">
        <v>15188</v>
      </c>
      <c r="D8" s="1">
        <v>16043</v>
      </c>
      <c r="E8" s="1">
        <v>20930</v>
      </c>
      <c r="F8" s="1">
        <v>20129</v>
      </c>
      <c r="J8" s="1" t="s">
        <v>32</v>
      </c>
      <c r="K8" s="1">
        <f t="shared" ref="K8:K15" si="5">R8 * $K$20</f>
        <v>7114.74</v>
      </c>
      <c r="L8" s="1">
        <f t="shared" ref="L8:L15" si="6">S8 * $L$20</f>
        <v>22002.28</v>
      </c>
      <c r="M8" s="1">
        <f t="shared" ref="M8:M15" si="7">T8 * $M$20</f>
        <v>20956.95</v>
      </c>
      <c r="N8" s="1">
        <f t="shared" ref="N8:N15" si="8">U8 * $N$20</f>
        <v>24283.800000000003</v>
      </c>
      <c r="O8" s="1">
        <f t="shared" ref="O8:O15" si="9">V8 * $O$20</f>
        <v>4328.6400000000003</v>
      </c>
      <c r="Q8" s="1" t="s">
        <v>32</v>
      </c>
      <c r="R8" s="1">
        <v>6241</v>
      </c>
      <c r="S8" s="1">
        <v>18646</v>
      </c>
      <c r="T8" s="1">
        <v>19959</v>
      </c>
      <c r="U8" s="1">
        <v>22485</v>
      </c>
      <c r="V8" s="1">
        <v>4008</v>
      </c>
    </row>
    <row r="9" spans="1:22" x14ac:dyDescent="0.2">
      <c r="A9" s="1" t="s">
        <v>33</v>
      </c>
      <c r="B9" s="1">
        <v>-21826</v>
      </c>
      <c r="C9" s="1">
        <v>-16355</v>
      </c>
      <c r="D9" s="1">
        <v>-17882</v>
      </c>
      <c r="E9" s="1">
        <v>-14663</v>
      </c>
      <c r="F9" s="1">
        <v>-20517</v>
      </c>
      <c r="J9" s="1" t="s">
        <v>33</v>
      </c>
      <c r="K9" s="1">
        <f t="shared" si="5"/>
        <v>-4444.8599999999997</v>
      </c>
      <c r="L9" s="1">
        <f t="shared" si="6"/>
        <v>10235.32</v>
      </c>
      <c r="M9" s="1">
        <f t="shared" si="7"/>
        <v>-11057.550000000001</v>
      </c>
      <c r="N9" s="1">
        <f t="shared" si="8"/>
        <v>-16250.76</v>
      </c>
      <c r="O9" s="1">
        <f t="shared" si="9"/>
        <v>-17260.560000000001</v>
      </c>
      <c r="Q9" s="1" t="s">
        <v>33</v>
      </c>
      <c r="R9" s="1">
        <v>-3899</v>
      </c>
      <c r="S9" s="1">
        <v>8674</v>
      </c>
      <c r="T9" s="1">
        <v>-10531</v>
      </c>
      <c r="U9" s="1">
        <v>-15047</v>
      </c>
      <c r="V9" s="1">
        <v>-15982</v>
      </c>
    </row>
    <row r="10" spans="1:22" x14ac:dyDescent="0.2">
      <c r="A10" s="1" t="s">
        <v>34</v>
      </c>
      <c r="B10" s="1">
        <v>5552</v>
      </c>
      <c r="C10" s="1">
        <v>1744</v>
      </c>
      <c r="D10" s="1">
        <v>383</v>
      </c>
      <c r="E10" s="1">
        <v>-6353</v>
      </c>
      <c r="F10" s="1">
        <v>1938</v>
      </c>
      <c r="J10" s="1" t="s">
        <v>34</v>
      </c>
      <c r="K10" s="1">
        <f t="shared" si="5"/>
        <v>3552.24</v>
      </c>
      <c r="L10" s="1">
        <f t="shared" si="6"/>
        <v>-1611.8799999999999</v>
      </c>
      <c r="M10" s="1">
        <f t="shared" si="7"/>
        <v>-13825.35</v>
      </c>
      <c r="N10" s="1">
        <f t="shared" si="8"/>
        <v>-9936</v>
      </c>
      <c r="O10" s="1">
        <f t="shared" si="9"/>
        <v>2225.88</v>
      </c>
      <c r="Q10" s="1" t="s">
        <v>34</v>
      </c>
      <c r="R10" s="1">
        <v>3116</v>
      </c>
      <c r="S10" s="1">
        <v>-1366</v>
      </c>
      <c r="T10" s="1">
        <v>-13167</v>
      </c>
      <c r="U10" s="1">
        <v>-9200</v>
      </c>
      <c r="V10" s="1">
        <v>2061</v>
      </c>
    </row>
    <row r="11" spans="1:22" s="15" customFormat="1" x14ac:dyDescent="0.2">
      <c r="A11" s="15" t="s">
        <v>35</v>
      </c>
      <c r="B11" s="15">
        <v>4.3600000000000003</v>
      </c>
      <c r="C11" s="15">
        <v>6.78</v>
      </c>
      <c r="D11" s="15">
        <v>6.17</v>
      </c>
      <c r="E11" s="15">
        <v>7.35</v>
      </c>
      <c r="F11" s="15">
        <v>6.45</v>
      </c>
      <c r="J11" s="15" t="s">
        <v>35</v>
      </c>
      <c r="K11" s="15">
        <f t="shared" si="5"/>
        <v>1.6073999999999997</v>
      </c>
      <c r="L11" s="15">
        <f t="shared" si="6"/>
        <v>5.4751999999999992</v>
      </c>
      <c r="M11" s="15">
        <f t="shared" si="7"/>
        <v>5.6174999999999997</v>
      </c>
      <c r="N11" s="15">
        <f t="shared" si="8"/>
        <v>6.458400000000001</v>
      </c>
      <c r="O11" s="15">
        <f t="shared" si="9"/>
        <v>2.0088000000000004</v>
      </c>
      <c r="Q11" s="15" t="s">
        <v>35</v>
      </c>
      <c r="R11" s="15">
        <v>1.41</v>
      </c>
      <c r="S11" s="15">
        <v>4.6399999999999997</v>
      </c>
      <c r="T11" s="15">
        <v>5.35</v>
      </c>
      <c r="U11" s="15">
        <v>5.98</v>
      </c>
      <c r="V11" s="15">
        <v>1.86</v>
      </c>
    </row>
    <row r="12" spans="1:22" s="15" customFormat="1" x14ac:dyDescent="0.2">
      <c r="A12" s="15" t="s">
        <v>36</v>
      </c>
      <c r="B12" s="15">
        <v>0.38</v>
      </c>
      <c r="C12" s="15">
        <v>0</v>
      </c>
      <c r="D12" s="15">
        <v>0.18</v>
      </c>
      <c r="E12" s="15">
        <v>0.36</v>
      </c>
      <c r="F12" s="15">
        <v>0.48</v>
      </c>
      <c r="J12" s="15" t="s">
        <v>36</v>
      </c>
      <c r="K12" s="15">
        <f t="shared" si="5"/>
        <v>0</v>
      </c>
      <c r="L12" s="15">
        <f t="shared" si="6"/>
        <v>0</v>
      </c>
      <c r="M12" s="15">
        <f t="shared" si="7"/>
        <v>1.0920000000000001</v>
      </c>
      <c r="N12" s="15">
        <f t="shared" si="8"/>
        <v>1.4472000000000003</v>
      </c>
      <c r="O12" s="15">
        <f t="shared" si="9"/>
        <v>1.6740000000000002</v>
      </c>
      <c r="Q12" s="15" t="s">
        <v>36</v>
      </c>
      <c r="R12" s="15">
        <v>0</v>
      </c>
      <c r="S12" s="15">
        <v>0</v>
      </c>
      <c r="T12" s="15">
        <v>1.04</v>
      </c>
      <c r="U12" s="15">
        <v>1.34</v>
      </c>
      <c r="V12" s="15">
        <v>1.55</v>
      </c>
    </row>
    <row r="13" spans="1:22" x14ac:dyDescent="0.2">
      <c r="A13" s="1" t="s">
        <v>41</v>
      </c>
      <c r="B13" s="1">
        <v>122485</v>
      </c>
      <c r="C13" s="1">
        <v>127004</v>
      </c>
      <c r="D13" s="1">
        <v>156735</v>
      </c>
      <c r="E13" s="1">
        <v>171842</v>
      </c>
      <c r="F13" s="1">
        <v>187442</v>
      </c>
      <c r="J13" s="1" t="s">
        <v>41</v>
      </c>
      <c r="K13" s="1">
        <f t="shared" si="5"/>
        <v>54327.839999999997</v>
      </c>
      <c r="L13" s="1">
        <f t="shared" si="6"/>
        <v>176314.41999999998</v>
      </c>
      <c r="M13" s="1">
        <f t="shared" si="7"/>
        <v>188571.6</v>
      </c>
      <c r="N13" s="1">
        <f t="shared" si="8"/>
        <v>204707.52000000002</v>
      </c>
      <c r="O13" s="1">
        <f t="shared" si="9"/>
        <v>169428.24000000002</v>
      </c>
      <c r="Q13" s="1" t="s">
        <v>41</v>
      </c>
      <c r="R13" s="1">
        <v>47656</v>
      </c>
      <c r="S13" s="1">
        <v>149419</v>
      </c>
      <c r="T13" s="1">
        <v>179592</v>
      </c>
      <c r="U13" s="1">
        <v>189544</v>
      </c>
      <c r="V13" s="1">
        <v>156878</v>
      </c>
    </row>
    <row r="14" spans="1:22" x14ac:dyDescent="0.2">
      <c r="A14" s="1" t="s">
        <v>42</v>
      </c>
      <c r="B14" s="1">
        <v>6247</v>
      </c>
      <c r="C14" s="1">
        <v>9837</v>
      </c>
      <c r="D14" s="1">
        <v>8915</v>
      </c>
      <c r="E14" s="1">
        <v>10022</v>
      </c>
      <c r="F14" s="1">
        <v>7189</v>
      </c>
      <c r="J14" s="1" t="s">
        <v>42</v>
      </c>
      <c r="K14" s="1">
        <f t="shared" si="5"/>
        <v>2477.2199999999998</v>
      </c>
      <c r="L14" s="1">
        <f t="shared" si="6"/>
        <v>16756</v>
      </c>
      <c r="M14" s="1">
        <f t="shared" si="7"/>
        <v>17638.95</v>
      </c>
      <c r="N14" s="1">
        <f t="shared" si="8"/>
        <v>20083.68</v>
      </c>
      <c r="O14" s="1">
        <f t="shared" si="9"/>
        <v>5910.84</v>
      </c>
      <c r="Q14" s="1" t="s">
        <v>42</v>
      </c>
      <c r="R14" s="1">
        <v>2173</v>
      </c>
      <c r="S14" s="1">
        <v>14200</v>
      </c>
      <c r="T14" s="1">
        <v>16799</v>
      </c>
      <c r="U14" s="1">
        <v>18596</v>
      </c>
      <c r="V14" s="1">
        <v>5473</v>
      </c>
    </row>
    <row r="15" spans="1:22" x14ac:dyDescent="0.2">
      <c r="A15" s="1" t="s">
        <v>37</v>
      </c>
      <c r="B15" s="1">
        <v>31962</v>
      </c>
      <c r="C15" s="1">
        <v>41937</v>
      </c>
      <c r="D15" s="1">
        <v>49251</v>
      </c>
      <c r="E15" s="1">
        <v>55391</v>
      </c>
      <c r="F15" s="1">
        <v>53472</v>
      </c>
      <c r="J15" s="1" t="s">
        <v>37</v>
      </c>
      <c r="K15" s="1">
        <f t="shared" si="5"/>
        <v>19910.099999999999</v>
      </c>
      <c r="L15" s="1">
        <f t="shared" si="6"/>
        <v>62275.68</v>
      </c>
      <c r="M15" s="1">
        <f t="shared" si="7"/>
        <v>70122.150000000009</v>
      </c>
      <c r="N15" s="1">
        <f t="shared" si="8"/>
        <v>87400.08</v>
      </c>
      <c r="O15" s="1">
        <f t="shared" si="9"/>
        <v>83501.279999999999</v>
      </c>
      <c r="Q15" s="1" t="s">
        <v>37</v>
      </c>
      <c r="R15" s="1">
        <v>17465</v>
      </c>
      <c r="S15" s="1">
        <v>52776</v>
      </c>
      <c r="T15" s="1">
        <v>66783</v>
      </c>
      <c r="U15" s="1">
        <v>80926</v>
      </c>
      <c r="V15" s="1">
        <v>77316</v>
      </c>
    </row>
    <row r="16" spans="1:22" s="2" customFormat="1" x14ac:dyDescent="0.2">
      <c r="A16" s="2" t="s">
        <v>38</v>
      </c>
      <c r="B16" s="2">
        <f>B5/B3</f>
        <v>0.78878287711421213</v>
      </c>
      <c r="C16" s="2">
        <f t="shared" ref="C16:F16" si="10">C5/C3</f>
        <v>0.73105778896525797</v>
      </c>
      <c r="D16" s="2">
        <f t="shared" si="10"/>
        <v>0.72623155088112656</v>
      </c>
      <c r="E16" s="2">
        <f t="shared" si="10"/>
        <v>0.74984985204933641</v>
      </c>
      <c r="F16" s="2">
        <f t="shared" si="10"/>
        <v>0.76554988007620794</v>
      </c>
      <c r="J16" s="2" t="s">
        <v>38</v>
      </c>
      <c r="K16" s="2">
        <f>R16</f>
        <v>0.68289831971840342</v>
      </c>
      <c r="L16" s="2">
        <f>S16</f>
        <v>0.67218774379097146</v>
      </c>
      <c r="M16" s="2">
        <f>T16</f>
        <v>0.61117557317518645</v>
      </c>
      <c r="N16" s="2">
        <f>U16</f>
        <v>0.59372278951951241</v>
      </c>
      <c r="O16" s="2">
        <f>V16</f>
        <v>0.60446902079409659</v>
      </c>
      <c r="Q16" s="2" t="s">
        <v>38</v>
      </c>
      <c r="R16" s="2">
        <f>R5/R3</f>
        <v>0.68289831971840342</v>
      </c>
      <c r="S16" s="2">
        <f t="shared" ref="S16:V16" si="11">S5/S3</f>
        <v>0.67218774379097146</v>
      </c>
      <c r="T16" s="2">
        <f t="shared" si="11"/>
        <v>0.61117557317518645</v>
      </c>
      <c r="U16" s="2">
        <f t="shared" si="11"/>
        <v>0.59372278951951241</v>
      </c>
      <c r="V16" s="2">
        <f t="shared" si="11"/>
        <v>0.60446902079409659</v>
      </c>
    </row>
    <row r="17" spans="1:22" x14ac:dyDescent="0.2">
      <c r="A17" s="1" t="s">
        <v>39</v>
      </c>
      <c r="B17" s="1">
        <v>1014</v>
      </c>
      <c r="C17" s="1">
        <v>7695</v>
      </c>
      <c r="D17" s="1">
        <v>9278</v>
      </c>
      <c r="E17" s="1">
        <v>7173</v>
      </c>
      <c r="F17" s="1">
        <v>12280</v>
      </c>
      <c r="J17" s="1" t="s">
        <v>39</v>
      </c>
      <c r="K17" s="1">
        <f>R17 * $K$20</f>
        <v>6915.24</v>
      </c>
      <c r="L17" s="1">
        <f>S17 * $L$20</f>
        <v>11726.84</v>
      </c>
      <c r="M17" s="1">
        <f>T17 * $M$20</f>
        <v>18848.55</v>
      </c>
      <c r="N17" s="1">
        <f>U17 * $N$20</f>
        <v>18986.400000000001</v>
      </c>
      <c r="O17" s="1">
        <f>V17 * $O$20</f>
        <v>6903.3600000000006</v>
      </c>
      <c r="Q17" s="1" t="s">
        <v>39</v>
      </c>
      <c r="R17" s="1">
        <v>6066</v>
      </c>
      <c r="S17" s="1">
        <v>9938</v>
      </c>
      <c r="T17" s="1">
        <v>17951</v>
      </c>
      <c r="U17" s="1">
        <v>17580</v>
      </c>
      <c r="V17" s="1">
        <v>6392</v>
      </c>
    </row>
    <row r="18" spans="1:22" s="2" customFormat="1" x14ac:dyDescent="0.2">
      <c r="A18" s="2" t="s">
        <v>43</v>
      </c>
      <c r="B18" s="2">
        <f>B13/B3</f>
        <v>0.52078284309973899</v>
      </c>
      <c r="C18" s="2">
        <f t="shared" ref="C18:F18" si="12">C13/C3</f>
        <v>0.5189810312277805</v>
      </c>
      <c r="D18" s="2">
        <f t="shared" si="12"/>
        <v>0.59360998647916774</v>
      </c>
      <c r="E18" s="2">
        <f t="shared" si="12"/>
        <v>0.62931034482758619</v>
      </c>
      <c r="F18" s="2">
        <f t="shared" si="12"/>
        <v>0.67000761364164407</v>
      </c>
      <c r="J18" s="2" t="s">
        <v>43</v>
      </c>
      <c r="K18" s="2">
        <f>R18</f>
        <v>0.63300790330079038</v>
      </c>
      <c r="L18" s="2">
        <f>S18</f>
        <v>0.86989858295588185</v>
      </c>
      <c r="M18" s="2">
        <f>T18</f>
        <v>0.96473925095081547</v>
      </c>
      <c r="N18" s="2">
        <f>U18</f>
        <v>0.93774242064434421</v>
      </c>
      <c r="O18" s="2">
        <f>V18</f>
        <v>0.75564889430510529</v>
      </c>
      <c r="Q18" s="2" t="s">
        <v>43</v>
      </c>
      <c r="R18" s="2">
        <f>R13/R3</f>
        <v>0.63300790330079038</v>
      </c>
      <c r="S18" s="2">
        <f t="shared" ref="S18:V18" si="13">S13/S3</f>
        <v>0.86989858295588185</v>
      </c>
      <c r="T18" s="2">
        <f t="shared" si="13"/>
        <v>0.96473925095081547</v>
      </c>
      <c r="U18" s="2">
        <f t="shared" si="13"/>
        <v>0.93774242064434421</v>
      </c>
      <c r="V18" s="2">
        <f t="shared" si="13"/>
        <v>0.75564889430510529</v>
      </c>
    </row>
    <row r="20" spans="1:22" x14ac:dyDescent="0.2">
      <c r="J20" s="16" t="s">
        <v>44</v>
      </c>
      <c r="K20" s="16">
        <v>1.1399999999999999</v>
      </c>
      <c r="L20" s="16">
        <v>1.18</v>
      </c>
      <c r="M20" s="16">
        <v>1.05</v>
      </c>
      <c r="N20" s="16">
        <v>1.08</v>
      </c>
      <c r="O20" s="16">
        <v>1.08</v>
      </c>
    </row>
  </sheetData>
  <mergeCells count="3">
    <mergeCell ref="A1:F1"/>
    <mergeCell ref="J1:O1"/>
    <mergeCell ref="Q1:V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459E-5A21-DF4F-B456-47B051506AF1}">
  <dimension ref="A1:F28"/>
  <sheetViews>
    <sheetView tabSelected="1" topLeftCell="A43" workbookViewId="0">
      <selection activeCell="F76" sqref="F76"/>
    </sheetView>
  </sheetViews>
  <sheetFormatPr baseColWidth="10" defaultRowHeight="16" x14ac:dyDescent="0.2"/>
  <cols>
    <col min="1" max="1" width="28.140625" customWidth="1"/>
    <col min="2" max="2" width="34.42578125" customWidth="1"/>
    <col min="3" max="3" width="15.7109375" customWidth="1"/>
    <col min="4" max="4" width="14.5703125" customWidth="1"/>
    <col min="5" max="5" width="21.42578125" customWidth="1"/>
    <col min="6" max="6" width="21.7109375" customWidth="1"/>
  </cols>
  <sheetData>
    <row r="1" spans="1:6" ht="25" x14ac:dyDescent="0.25">
      <c r="A1" s="23" t="s">
        <v>58</v>
      </c>
      <c r="B1" s="23"/>
      <c r="C1" s="23"/>
      <c r="D1" s="23"/>
      <c r="E1" s="23"/>
      <c r="F1" s="23"/>
    </row>
    <row r="2" spans="1:6" x14ac:dyDescent="0.2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</row>
    <row r="3" spans="1:6" x14ac:dyDescent="0.2">
      <c r="A3" t="s">
        <v>57</v>
      </c>
      <c r="B3" t="s">
        <v>55</v>
      </c>
      <c r="C3" s="24">
        <v>7173</v>
      </c>
      <c r="D3" s="24">
        <v>12280</v>
      </c>
      <c r="E3" s="14">
        <v>18986</v>
      </c>
      <c r="F3" s="14">
        <v>6903</v>
      </c>
    </row>
    <row r="4" spans="1:6" x14ac:dyDescent="0.2">
      <c r="A4" t="s">
        <v>54</v>
      </c>
      <c r="B4" t="s">
        <v>56</v>
      </c>
      <c r="C4">
        <v>1.08</v>
      </c>
      <c r="D4">
        <v>1.1299999999999999</v>
      </c>
      <c r="E4">
        <v>1.24</v>
      </c>
      <c r="F4">
        <v>1.08</v>
      </c>
    </row>
    <row r="8" spans="1:6" ht="25" x14ac:dyDescent="0.25">
      <c r="A8" s="23" t="s">
        <v>59</v>
      </c>
      <c r="B8" s="23"/>
      <c r="C8" s="23"/>
      <c r="D8" s="23"/>
      <c r="E8" s="23"/>
      <c r="F8" s="23"/>
    </row>
    <row r="9" spans="1:6" x14ac:dyDescent="0.2">
      <c r="A9" s="3" t="s">
        <v>60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</row>
    <row r="10" spans="1:6" x14ac:dyDescent="0.2">
      <c r="A10" t="s">
        <v>61</v>
      </c>
      <c r="B10" t="s">
        <v>67</v>
      </c>
      <c r="C10">
        <v>8.9</v>
      </c>
      <c r="D10">
        <v>9.6999999999999993</v>
      </c>
      <c r="E10">
        <v>7.8</v>
      </c>
      <c r="F10">
        <v>6.5</v>
      </c>
    </row>
    <row r="11" spans="1:6" x14ac:dyDescent="0.2">
      <c r="A11" t="s">
        <v>62</v>
      </c>
      <c r="B11" t="s">
        <v>64</v>
      </c>
      <c r="C11">
        <v>13.4</v>
      </c>
      <c r="D11">
        <v>14.9</v>
      </c>
      <c r="E11">
        <v>33.4</v>
      </c>
      <c r="F11">
        <v>26.3</v>
      </c>
    </row>
    <row r="12" spans="1:6" x14ac:dyDescent="0.2">
      <c r="A12" t="s">
        <v>63</v>
      </c>
      <c r="B12" t="s">
        <v>65</v>
      </c>
      <c r="C12">
        <v>5.0999999999999996</v>
      </c>
      <c r="D12">
        <v>5.6</v>
      </c>
      <c r="E12">
        <v>4.7</v>
      </c>
      <c r="F12">
        <v>4.4000000000000004</v>
      </c>
    </row>
    <row r="13" spans="1:6" x14ac:dyDescent="0.2">
      <c r="A13" t="s">
        <v>43</v>
      </c>
      <c r="B13" t="s">
        <v>66</v>
      </c>
      <c r="C13">
        <v>0.64</v>
      </c>
      <c r="D13">
        <v>0.68</v>
      </c>
      <c r="E13">
        <v>0.98</v>
      </c>
      <c r="F13">
        <v>0.77</v>
      </c>
    </row>
    <row r="17" spans="1:6" ht="25" x14ac:dyDescent="0.25">
      <c r="A17" s="23" t="s">
        <v>73</v>
      </c>
      <c r="B17" s="23"/>
      <c r="C17" s="23"/>
      <c r="D17" s="23"/>
      <c r="E17" s="23"/>
      <c r="F17" s="23"/>
    </row>
    <row r="18" spans="1:6" x14ac:dyDescent="0.2">
      <c r="A18" s="12" t="s">
        <v>68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</row>
    <row r="19" spans="1:6" s="2" customFormat="1" x14ac:dyDescent="0.2">
      <c r="A19" s="2" t="s">
        <v>38</v>
      </c>
      <c r="B19" s="2" t="s">
        <v>70</v>
      </c>
      <c r="C19" s="2">
        <v>0.75</v>
      </c>
      <c r="D19" s="2">
        <v>0.76600000000000001</v>
      </c>
      <c r="E19" s="2">
        <v>0.59399999999999997</v>
      </c>
      <c r="F19" s="2">
        <v>0.60399999999999998</v>
      </c>
    </row>
    <row r="20" spans="1:6" s="25" customFormat="1" x14ac:dyDescent="0.2">
      <c r="A20" s="25" t="s">
        <v>69</v>
      </c>
      <c r="B20" s="25" t="s">
        <v>71</v>
      </c>
      <c r="C20" s="25">
        <v>10.199999999999999</v>
      </c>
      <c r="D20" s="25">
        <v>15.1</v>
      </c>
      <c r="E20" s="25">
        <v>533.70000000000005</v>
      </c>
      <c r="F20" s="25">
        <v>10.7</v>
      </c>
    </row>
    <row r="24" spans="1:6" ht="25" x14ac:dyDescent="0.25">
      <c r="A24" s="23" t="s">
        <v>72</v>
      </c>
      <c r="B24" s="23"/>
      <c r="C24" s="23"/>
      <c r="D24" s="23"/>
      <c r="E24" s="23"/>
      <c r="F24" s="23"/>
    </row>
    <row r="25" spans="1:6" x14ac:dyDescent="0.2">
      <c r="A25" s="12" t="s">
        <v>74</v>
      </c>
      <c r="B25" s="12" t="s">
        <v>49</v>
      </c>
      <c r="C25" s="12" t="s">
        <v>50</v>
      </c>
      <c r="D25" s="12" t="s">
        <v>51</v>
      </c>
      <c r="E25" s="12" t="s">
        <v>52</v>
      </c>
      <c r="F25" s="12" t="s">
        <v>53</v>
      </c>
    </row>
    <row r="26" spans="1:6" s="2" customFormat="1" x14ac:dyDescent="0.2">
      <c r="A26" s="2" t="s">
        <v>30</v>
      </c>
      <c r="B26" s="2" t="s">
        <v>75</v>
      </c>
      <c r="C26" s="2">
        <v>3.6999999999999998E-2</v>
      </c>
      <c r="D26" s="2">
        <v>2.5999999999999999E-2</v>
      </c>
      <c r="E26" s="2">
        <v>9.1999999999999998E-2</v>
      </c>
      <c r="F26" s="2">
        <v>2.5999999999999999E-2</v>
      </c>
    </row>
    <row r="27" spans="1:6" s="2" customFormat="1" x14ac:dyDescent="0.2">
      <c r="A27" s="2" t="s">
        <v>31</v>
      </c>
      <c r="B27" s="2" t="s">
        <v>76</v>
      </c>
      <c r="C27" s="2">
        <v>0.14699999999999999</v>
      </c>
      <c r="D27" s="2">
        <v>0.11</v>
      </c>
      <c r="E27" s="2">
        <v>0.22600000000000001</v>
      </c>
      <c r="F27" s="2">
        <v>6.7000000000000004E-2</v>
      </c>
    </row>
    <row r="28" spans="1:6" x14ac:dyDescent="0.2">
      <c r="A28" t="s">
        <v>78</v>
      </c>
      <c r="B28" t="s">
        <v>77</v>
      </c>
      <c r="C28">
        <v>7.35</v>
      </c>
      <c r="D28">
        <v>6.45</v>
      </c>
      <c r="E28">
        <v>6.46</v>
      </c>
      <c r="F28">
        <v>2.0099999999999998</v>
      </c>
    </row>
  </sheetData>
  <mergeCells count="4">
    <mergeCell ref="A1:F1"/>
    <mergeCell ref="A8:F8"/>
    <mergeCell ref="A17:F17"/>
    <mergeCell ref="A24:F24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GM_Horizontal</vt:lpstr>
      <vt:lpstr>GM_VERTICAL</vt:lpstr>
      <vt:lpstr>Trend Analysis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Thomas Sabu</dc:creator>
  <cp:lastModifiedBy>Sanju Thomas Sabu</cp:lastModifiedBy>
  <dcterms:created xsi:type="dcterms:W3CDTF">2025-12-01T17:04:35Z</dcterms:created>
  <dcterms:modified xsi:type="dcterms:W3CDTF">2025-12-08T19:53:17Z</dcterms:modified>
</cp:coreProperties>
</file>